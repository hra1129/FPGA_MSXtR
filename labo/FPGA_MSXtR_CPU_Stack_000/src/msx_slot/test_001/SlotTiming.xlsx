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labo\FPGA_MSXtR_CPU_Stack_000\src\msx_slot\test_001\"/>
    </mc:Choice>
  </mc:AlternateContent>
  <xr:revisionPtr revIDLastSave="0" documentId="13_ncr:1_{9E2B53D6-F09F-4A9D-B821-1C2C7DC7B111}" xr6:coauthVersionLast="47" xr6:coauthVersionMax="47" xr10:uidLastSave="{00000000-0000-0000-0000-000000000000}"/>
  <bookViews>
    <workbookView xWindow="-120" yWindow="-120" windowWidth="29040" windowHeight="17520" xr2:uid="{AC65AD65-EC2C-4009-86B9-C5FE140E57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1" l="1"/>
  <c r="M11" i="1"/>
  <c r="M37" i="1"/>
  <c r="M35" i="1"/>
  <c r="M33" i="1"/>
  <c r="M31" i="1"/>
  <c r="M17" i="1"/>
  <c r="M14" i="1"/>
  <c r="M13" i="1"/>
  <c r="I37" i="1"/>
  <c r="I38" i="1"/>
  <c r="J38" i="1" s="1"/>
  <c r="M38" i="1" s="1"/>
  <c r="J37" i="1"/>
  <c r="M36" i="1"/>
  <c r="M34" i="1"/>
  <c r="M30" i="1"/>
  <c r="M32" i="1"/>
  <c r="D3" i="1"/>
  <c r="G6" i="1" s="1"/>
  <c r="B2" i="1"/>
  <c r="D2" i="1" s="1"/>
  <c r="I5" i="1" s="1"/>
  <c r="J5" i="1" s="1"/>
  <c r="I31" i="1" l="1"/>
  <c r="J31" i="1" s="1"/>
  <c r="I34" i="1"/>
  <c r="J34" i="1" s="1"/>
  <c r="I23" i="1"/>
  <c r="J23" i="1" s="1"/>
  <c r="M23" i="1" s="1"/>
  <c r="I26" i="1"/>
  <c r="J26" i="1" s="1"/>
  <c r="I29" i="1"/>
  <c r="J29" i="1" s="1"/>
  <c r="I30" i="1"/>
  <c r="J30" i="1" s="1"/>
  <c r="I32" i="1"/>
  <c r="J32" i="1" s="1"/>
  <c r="I35" i="1"/>
  <c r="J35" i="1" s="1"/>
  <c r="I21" i="1"/>
  <c r="J21" i="1" s="1"/>
  <c r="M21" i="1" s="1"/>
  <c r="I22" i="1"/>
  <c r="J22" i="1" s="1"/>
  <c r="M22" i="1" s="1"/>
  <c r="I24" i="1"/>
  <c r="J24" i="1" s="1"/>
  <c r="I25" i="1"/>
  <c r="J25" i="1" s="1"/>
  <c r="M25" i="1" s="1"/>
  <c r="I33" i="1"/>
  <c r="J33" i="1" s="1"/>
  <c r="I36" i="1"/>
  <c r="J36" i="1" s="1"/>
  <c r="I6" i="1"/>
  <c r="J6" i="1" s="1"/>
  <c r="I16" i="1"/>
  <c r="J16" i="1" s="1"/>
  <c r="M16" i="1" s="1"/>
  <c r="I13" i="1"/>
  <c r="J13" i="1" s="1"/>
  <c r="I14" i="1"/>
  <c r="J14" i="1" s="1"/>
  <c r="I15" i="1"/>
  <c r="J15" i="1" s="1"/>
  <c r="I12" i="1"/>
  <c r="J12" i="1" s="1"/>
  <c r="I17" i="1"/>
  <c r="J17" i="1" s="1"/>
  <c r="I11" i="1"/>
  <c r="J11" i="1" s="1"/>
  <c r="I18" i="1"/>
  <c r="J18" i="1" s="1"/>
  <c r="I9" i="1"/>
  <c r="J9" i="1" s="1"/>
  <c r="I10" i="1"/>
  <c r="J10" i="1" s="1"/>
  <c r="M18" i="1" l="1"/>
  <c r="M10" i="1"/>
  <c r="M26" i="1"/>
  <c r="M15" i="1"/>
  <c r="M24" i="1"/>
  <c r="M9" i="1"/>
  <c r="M29" i="1"/>
</calcChain>
</file>

<file path=xl/sharedStrings.xml><?xml version="1.0" encoding="utf-8"?>
<sst xmlns="http://schemas.openxmlformats.org/spreadsheetml/2006/main" count="244" uniqueCount="57">
  <si>
    <t>ns</t>
    <phoneticPr fontId="1"/>
  </si>
  <si>
    <t>MHz</t>
    <phoneticPr fontId="1"/>
  </si>
  <si>
    <t>メモリサイクル</t>
    <phoneticPr fontId="1"/>
  </si>
  <si>
    <t>Slot clock</t>
    <phoneticPr fontId="1"/>
  </si>
  <si>
    <t>clk</t>
    <phoneticPr fontId="1"/>
  </si>
  <si>
    <t>T-Cycle half</t>
    <phoneticPr fontId="1"/>
  </si>
  <si>
    <t>/MREQ fall</t>
    <phoneticPr fontId="1"/>
  </si>
  <si>
    <t>/MERQ rise</t>
    <phoneticPr fontId="1"/>
  </si>
  <si>
    <t>T1</t>
    <phoneticPr fontId="1"/>
  </si>
  <si>
    <t>T3</t>
    <phoneticPr fontId="1"/>
  </si>
  <si>
    <t>/SLTSL fall</t>
    <phoneticPr fontId="1"/>
  </si>
  <si>
    <t>/SLTSL rise</t>
    <phoneticPr fontId="1"/>
  </si>
  <si>
    <t>/CS fall</t>
    <phoneticPr fontId="1"/>
  </si>
  <si>
    <t>/CS rise</t>
    <phoneticPr fontId="1"/>
  </si>
  <si>
    <t>/WR fall</t>
    <phoneticPr fontId="1"/>
  </si>
  <si>
    <t>/WR rise</t>
    <phoneticPr fontId="1"/>
  </si>
  <si>
    <t>/RD fall</t>
    <phoneticPr fontId="1"/>
  </si>
  <si>
    <t>/RD rise</t>
    <phoneticPr fontId="1"/>
  </si>
  <si>
    <t>T2</t>
    <phoneticPr fontId="1"/>
  </si>
  <si>
    <t>I/Oサイクル</t>
    <phoneticPr fontId="1"/>
  </si>
  <si>
    <t>/IOREQ fall</t>
    <phoneticPr fontId="1"/>
  </si>
  <si>
    <t>/IOREQ rise</t>
    <phoneticPr fontId="1"/>
  </si>
  <si>
    <t>M1サイクル</t>
    <phoneticPr fontId="1"/>
  </si>
  <si>
    <t>/RFSH fall</t>
    <phoneticPr fontId="1"/>
  </si>
  <si>
    <t>/RFSH rise</t>
    <phoneticPr fontId="1"/>
  </si>
  <si>
    <t>T5</t>
    <phoneticPr fontId="1"/>
  </si>
  <si>
    <t>T4</t>
    <phoneticPr fontId="1"/>
  </si>
  <si>
    <t>MHz</t>
  </si>
  <si>
    <t>ns</t>
  </si>
  <si>
    <t>Slot clock</t>
  </si>
  <si>
    <t>clk</t>
  </si>
  <si>
    <t>T-Cycle half</t>
  </si>
  <si>
    <t>メモリサイクル</t>
  </si>
  <si>
    <t>/MREQ fall</t>
  </si>
  <si>
    <t>T1</t>
  </si>
  <si>
    <t>/MERQ rise</t>
  </si>
  <si>
    <t>T3</t>
  </si>
  <si>
    <t>/SLTSL fall</t>
  </si>
  <si>
    <t>/SLTSL rise</t>
  </si>
  <si>
    <t>/CS fall</t>
  </si>
  <si>
    <t>T2</t>
  </si>
  <si>
    <t>/CS rise</t>
  </si>
  <si>
    <t>T4</t>
  </si>
  <si>
    <t>/WR fall</t>
  </si>
  <si>
    <t>/WR rise</t>
  </si>
  <si>
    <t>/RD fall</t>
  </si>
  <si>
    <t>/RD rise</t>
  </si>
  <si>
    <t>I/Oサイクル</t>
  </si>
  <si>
    <t>/IOREQ fall</t>
  </si>
  <si>
    <t>/IOREQ rise</t>
  </si>
  <si>
    <t>/RFSH fall</t>
  </si>
  <si>
    <t>/RFSH rise</t>
  </si>
  <si>
    <t>T5</t>
  </si>
  <si>
    <t>-</t>
    <phoneticPr fontId="1"/>
  </si>
  <si>
    <t>※ read時のみ</t>
    <rPh sb="6" eb="7">
      <t>ジ</t>
    </rPh>
    <phoneticPr fontId="1"/>
  </si>
  <si>
    <t>※ write時のみ</t>
    <rPh sb="7" eb="8">
      <t>ジ</t>
    </rPh>
    <phoneticPr fontId="1"/>
  </si>
  <si>
    <t>M1サイクル（readのみ）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</si>
</sst>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04E2-90FE-4E47-8635-AC9CF9CDD4EA}">
  <dimension ref="B2:N38"/>
  <sheetViews>
    <sheetView tabSelected="1" topLeftCell="B1" workbookViewId="0">
      <selection activeCell="M13" sqref="M13"/>
    </sheetView>
  </sheetViews>
  <sheetFormatPr defaultRowHeight="18.75" x14ac:dyDescent="0.4"/>
  <cols>
    <col min="3" max="3" width="5.5" customWidth="1"/>
    <col min="5" max="5" width="4.375" customWidth="1"/>
    <col min="6" max="6" width="11.875" customWidth="1"/>
    <col min="12" max="12" width="4.75" customWidth="1"/>
  </cols>
  <sheetData>
    <row r="2" spans="2:14" x14ac:dyDescent="0.4">
      <c r="B2">
        <f>3.579545*12</f>
        <v>42.954540000000001</v>
      </c>
      <c r="C2" t="s">
        <v>1</v>
      </c>
      <c r="D2">
        <f>1000000000/(B2*1000000)</f>
        <v>23.280426236667882</v>
      </c>
      <c r="E2" t="s">
        <v>0</v>
      </c>
    </row>
    <row r="3" spans="2:14" x14ac:dyDescent="0.4">
      <c r="B3">
        <v>3.579545</v>
      </c>
      <c r="C3" t="s">
        <v>1</v>
      </c>
      <c r="D3">
        <f>1000000000/(B3*1000000)</f>
        <v>279.3651148400146</v>
      </c>
      <c r="E3" t="s">
        <v>0</v>
      </c>
    </row>
    <row r="5" spans="2:14" x14ac:dyDescent="0.4">
      <c r="F5" t="s">
        <v>3</v>
      </c>
      <c r="G5">
        <v>40</v>
      </c>
      <c r="H5" t="s">
        <v>0</v>
      </c>
      <c r="I5">
        <f>G5/$D$2</f>
        <v>1.7181816000000001</v>
      </c>
      <c r="J5">
        <f>ROUND(I5,0)</f>
        <v>2</v>
      </c>
      <c r="K5" t="s">
        <v>4</v>
      </c>
    </row>
    <row r="6" spans="2:14" x14ac:dyDescent="0.4">
      <c r="F6" t="s">
        <v>5</v>
      </c>
      <c r="G6">
        <f>D3/2</f>
        <v>139.6825574200073</v>
      </c>
      <c r="H6" t="s">
        <v>0</v>
      </c>
      <c r="I6">
        <f>G6/$D$2</f>
        <v>6</v>
      </c>
      <c r="J6">
        <f>ROUND(I6,0)</f>
        <v>6</v>
      </c>
      <c r="K6" t="s">
        <v>4</v>
      </c>
    </row>
    <row r="8" spans="2:14" x14ac:dyDescent="0.4">
      <c r="E8" t="s">
        <v>2</v>
      </c>
    </row>
    <row r="9" spans="2:14" x14ac:dyDescent="0.4">
      <c r="F9" t="s">
        <v>6</v>
      </c>
      <c r="G9">
        <v>145</v>
      </c>
      <c r="H9" t="s">
        <v>0</v>
      </c>
      <c r="I9">
        <f t="shared" ref="I9:I18" si="0">G9/$D$2</f>
        <v>6.2284082999999999</v>
      </c>
      <c r="J9">
        <f t="shared" ref="J9:J18" si="1">ROUND(I9,0)</f>
        <v>6</v>
      </c>
      <c r="K9" t="s">
        <v>4</v>
      </c>
      <c r="L9" t="s">
        <v>8</v>
      </c>
      <c r="M9">
        <f>J9+$J$6</f>
        <v>12</v>
      </c>
      <c r="N9" t="s">
        <v>4</v>
      </c>
    </row>
    <row r="10" spans="2:14" x14ac:dyDescent="0.4">
      <c r="F10" t="s">
        <v>7</v>
      </c>
      <c r="G10">
        <v>145</v>
      </c>
      <c r="H10" t="s">
        <v>0</v>
      </c>
      <c r="I10">
        <f t="shared" si="0"/>
        <v>6.2284082999999999</v>
      </c>
      <c r="J10">
        <f t="shared" si="1"/>
        <v>6</v>
      </c>
      <c r="K10" t="s">
        <v>4</v>
      </c>
      <c r="L10" t="s">
        <v>9</v>
      </c>
      <c r="M10">
        <f t="shared" ref="M10:M18" si="2">J10+$J$6</f>
        <v>12</v>
      </c>
      <c r="N10" t="s">
        <v>4</v>
      </c>
    </row>
    <row r="11" spans="2:14" x14ac:dyDescent="0.4">
      <c r="F11" t="s">
        <v>10</v>
      </c>
      <c r="G11">
        <v>155</v>
      </c>
      <c r="H11" t="s">
        <v>0</v>
      </c>
      <c r="I11">
        <f t="shared" si="0"/>
        <v>6.6579537000000002</v>
      </c>
      <c r="J11">
        <f t="shared" si="1"/>
        <v>7</v>
      </c>
      <c r="K11" t="s">
        <v>4</v>
      </c>
      <c r="L11" t="s">
        <v>18</v>
      </c>
      <c r="M11">
        <f>J11-$J$6</f>
        <v>1</v>
      </c>
      <c r="N11" t="s">
        <v>4</v>
      </c>
    </row>
    <row r="12" spans="2:14" x14ac:dyDescent="0.4">
      <c r="F12" t="s">
        <v>11</v>
      </c>
      <c r="G12">
        <v>155</v>
      </c>
      <c r="H12" t="s">
        <v>0</v>
      </c>
      <c r="I12">
        <f t="shared" si="0"/>
        <v>6.6579537000000002</v>
      </c>
      <c r="J12">
        <f t="shared" si="1"/>
        <v>7</v>
      </c>
      <c r="K12" t="s">
        <v>4</v>
      </c>
      <c r="L12" t="s">
        <v>26</v>
      </c>
      <c r="M12">
        <f>J12-$J$6</f>
        <v>1</v>
      </c>
      <c r="N12" t="s">
        <v>4</v>
      </c>
    </row>
    <row r="13" spans="2:14" x14ac:dyDescent="0.4">
      <c r="F13" t="s">
        <v>12</v>
      </c>
      <c r="G13">
        <v>195</v>
      </c>
      <c r="H13" t="s">
        <v>0</v>
      </c>
      <c r="I13">
        <f t="shared" si="0"/>
        <v>8.3761352999999996</v>
      </c>
      <c r="J13">
        <f t="shared" si="1"/>
        <v>8</v>
      </c>
      <c r="K13" t="s">
        <v>4</v>
      </c>
      <c r="L13" t="s">
        <v>18</v>
      </c>
      <c r="M13">
        <f>J13-$J$6</f>
        <v>2</v>
      </c>
      <c r="N13" t="s">
        <v>4</v>
      </c>
    </row>
    <row r="14" spans="2:14" x14ac:dyDescent="0.4">
      <c r="F14" t="s">
        <v>13</v>
      </c>
      <c r="G14">
        <v>195</v>
      </c>
      <c r="H14" t="s">
        <v>0</v>
      </c>
      <c r="I14">
        <f t="shared" si="0"/>
        <v>8.3761352999999996</v>
      </c>
      <c r="J14">
        <f t="shared" si="1"/>
        <v>8</v>
      </c>
      <c r="K14" t="s">
        <v>4</v>
      </c>
      <c r="L14" t="s">
        <v>26</v>
      </c>
      <c r="M14">
        <f>J14-$J$6</f>
        <v>2</v>
      </c>
      <c r="N14" t="s">
        <v>4</v>
      </c>
    </row>
    <row r="15" spans="2:14" x14ac:dyDescent="0.4">
      <c r="F15" t="s">
        <v>14</v>
      </c>
      <c r="G15">
        <v>140</v>
      </c>
      <c r="H15" t="s">
        <v>0</v>
      </c>
      <c r="I15">
        <f t="shared" si="0"/>
        <v>6.0136355999999997</v>
      </c>
      <c r="J15">
        <f t="shared" si="1"/>
        <v>6</v>
      </c>
      <c r="K15" t="s">
        <v>4</v>
      </c>
      <c r="L15" t="s">
        <v>18</v>
      </c>
      <c r="M15">
        <f t="shared" si="2"/>
        <v>12</v>
      </c>
      <c r="N15" t="s">
        <v>4</v>
      </c>
    </row>
    <row r="16" spans="2:14" x14ac:dyDescent="0.4">
      <c r="F16" t="s">
        <v>15</v>
      </c>
      <c r="G16">
        <v>120</v>
      </c>
      <c r="H16" t="s">
        <v>0</v>
      </c>
      <c r="I16">
        <f t="shared" si="0"/>
        <v>5.1545448</v>
      </c>
      <c r="J16">
        <f t="shared" si="1"/>
        <v>5</v>
      </c>
      <c r="K16" t="s">
        <v>4</v>
      </c>
      <c r="L16" t="s">
        <v>9</v>
      </c>
      <c r="M16">
        <f t="shared" si="2"/>
        <v>11</v>
      </c>
      <c r="N16" t="s">
        <v>4</v>
      </c>
    </row>
    <row r="17" spans="5:14" x14ac:dyDescent="0.4">
      <c r="F17" t="s">
        <v>16</v>
      </c>
      <c r="G17">
        <v>155</v>
      </c>
      <c r="H17" t="s">
        <v>0</v>
      </c>
      <c r="I17">
        <f t="shared" si="0"/>
        <v>6.6579537000000002</v>
      </c>
      <c r="J17">
        <f t="shared" si="1"/>
        <v>7</v>
      </c>
      <c r="K17" t="s">
        <v>4</v>
      </c>
      <c r="L17" t="s">
        <v>18</v>
      </c>
      <c r="M17">
        <f>J17-$J$6</f>
        <v>1</v>
      </c>
      <c r="N17" t="s">
        <v>4</v>
      </c>
    </row>
    <row r="18" spans="5:14" x14ac:dyDescent="0.4">
      <c r="F18" t="s">
        <v>17</v>
      </c>
      <c r="G18">
        <v>145</v>
      </c>
      <c r="H18" t="s">
        <v>0</v>
      </c>
      <c r="I18">
        <f t="shared" si="0"/>
        <v>6.2284082999999999</v>
      </c>
      <c r="J18">
        <f t="shared" si="1"/>
        <v>6</v>
      </c>
      <c r="K18" t="s">
        <v>4</v>
      </c>
      <c r="L18" t="s">
        <v>9</v>
      </c>
      <c r="M18">
        <f t="shared" si="2"/>
        <v>12</v>
      </c>
      <c r="N18" t="s">
        <v>4</v>
      </c>
    </row>
    <row r="20" spans="5:14" x14ac:dyDescent="0.4">
      <c r="E20" t="s">
        <v>19</v>
      </c>
    </row>
    <row r="21" spans="5:14" x14ac:dyDescent="0.4">
      <c r="F21" t="s">
        <v>20</v>
      </c>
      <c r="G21">
        <v>135</v>
      </c>
      <c r="H21" t="s">
        <v>0</v>
      </c>
      <c r="I21">
        <f t="shared" ref="I21:I26" si="3">G21/$D$2</f>
        <v>5.7988628999999996</v>
      </c>
      <c r="J21">
        <f t="shared" ref="J21:J26" si="4">ROUND(I21,0)</f>
        <v>6</v>
      </c>
      <c r="K21" t="s">
        <v>4</v>
      </c>
      <c r="L21" t="s">
        <v>18</v>
      </c>
      <c r="M21">
        <f>J21</f>
        <v>6</v>
      </c>
      <c r="N21" t="s">
        <v>4</v>
      </c>
    </row>
    <row r="22" spans="5:14" x14ac:dyDescent="0.4">
      <c r="F22" t="s">
        <v>21</v>
      </c>
      <c r="G22">
        <v>145</v>
      </c>
      <c r="H22" t="s">
        <v>0</v>
      </c>
      <c r="I22">
        <f t="shared" si="3"/>
        <v>6.2284082999999999</v>
      </c>
      <c r="J22">
        <f t="shared" si="4"/>
        <v>6</v>
      </c>
      <c r="K22" t="s">
        <v>4</v>
      </c>
      <c r="L22" t="s">
        <v>9</v>
      </c>
      <c r="M22">
        <f t="shared" ref="M22:M26" si="5">J22+$J$6</f>
        <v>12</v>
      </c>
      <c r="N22" t="s">
        <v>4</v>
      </c>
    </row>
    <row r="23" spans="5:14" x14ac:dyDescent="0.4">
      <c r="F23" t="s">
        <v>14</v>
      </c>
      <c r="G23">
        <v>125</v>
      </c>
      <c r="H23" t="s">
        <v>0</v>
      </c>
      <c r="I23">
        <f t="shared" si="3"/>
        <v>5.3693175000000002</v>
      </c>
      <c r="J23">
        <f t="shared" si="4"/>
        <v>5</v>
      </c>
      <c r="K23" t="s">
        <v>4</v>
      </c>
      <c r="L23" t="s">
        <v>18</v>
      </c>
      <c r="M23">
        <f>J23</f>
        <v>5</v>
      </c>
      <c r="N23" t="s">
        <v>4</v>
      </c>
    </row>
    <row r="24" spans="5:14" x14ac:dyDescent="0.4">
      <c r="F24" t="s">
        <v>15</v>
      </c>
      <c r="G24">
        <v>120</v>
      </c>
      <c r="H24" t="s">
        <v>0</v>
      </c>
      <c r="I24">
        <f t="shared" si="3"/>
        <v>5.1545448</v>
      </c>
      <c r="J24">
        <f t="shared" si="4"/>
        <v>5</v>
      </c>
      <c r="K24" t="s">
        <v>4</v>
      </c>
      <c r="L24" t="s">
        <v>9</v>
      </c>
      <c r="M24">
        <f t="shared" si="5"/>
        <v>11</v>
      </c>
      <c r="N24" t="s">
        <v>4</v>
      </c>
    </row>
    <row r="25" spans="5:14" x14ac:dyDescent="0.4">
      <c r="F25" t="s">
        <v>16</v>
      </c>
      <c r="G25">
        <v>145</v>
      </c>
      <c r="H25" t="s">
        <v>0</v>
      </c>
      <c r="I25">
        <f t="shared" si="3"/>
        <v>6.2284082999999999</v>
      </c>
      <c r="J25">
        <f t="shared" si="4"/>
        <v>6</v>
      </c>
      <c r="K25" t="s">
        <v>4</v>
      </c>
      <c r="L25" t="s">
        <v>18</v>
      </c>
      <c r="M25">
        <f>J25</f>
        <v>6</v>
      </c>
      <c r="N25" t="s">
        <v>4</v>
      </c>
    </row>
    <row r="26" spans="5:14" x14ac:dyDescent="0.4">
      <c r="F26" t="s">
        <v>17</v>
      </c>
      <c r="G26">
        <v>145</v>
      </c>
      <c r="H26" t="s">
        <v>0</v>
      </c>
      <c r="I26">
        <f t="shared" si="3"/>
        <v>6.2284082999999999</v>
      </c>
      <c r="J26">
        <f t="shared" si="4"/>
        <v>6</v>
      </c>
      <c r="K26" t="s">
        <v>4</v>
      </c>
      <c r="L26" t="s">
        <v>9</v>
      </c>
      <c r="M26">
        <f t="shared" si="5"/>
        <v>12</v>
      </c>
      <c r="N26" t="s">
        <v>4</v>
      </c>
    </row>
    <row r="28" spans="5:14" x14ac:dyDescent="0.4">
      <c r="E28" t="s">
        <v>22</v>
      </c>
    </row>
    <row r="29" spans="5:14" x14ac:dyDescent="0.4">
      <c r="F29" t="s">
        <v>6</v>
      </c>
      <c r="G29">
        <v>145</v>
      </c>
      <c r="H29" t="s">
        <v>0</v>
      </c>
      <c r="I29">
        <f t="shared" ref="I29:I38" si="6">G29/$D$2</f>
        <v>6.2284082999999999</v>
      </c>
      <c r="J29">
        <f t="shared" ref="J29:J38" si="7">ROUND(I29,0)</f>
        <v>6</v>
      </c>
      <c r="K29" t="s">
        <v>4</v>
      </c>
      <c r="L29" t="s">
        <v>8</v>
      </c>
      <c r="M29">
        <f>J29+$J$6</f>
        <v>12</v>
      </c>
      <c r="N29" t="s">
        <v>4</v>
      </c>
    </row>
    <row r="30" spans="5:14" x14ac:dyDescent="0.4">
      <c r="F30" t="s">
        <v>7</v>
      </c>
      <c r="G30">
        <v>145</v>
      </c>
      <c r="H30" t="s">
        <v>0</v>
      </c>
      <c r="I30">
        <f t="shared" si="6"/>
        <v>6.2284082999999999</v>
      </c>
      <c r="J30">
        <f t="shared" si="7"/>
        <v>6</v>
      </c>
      <c r="K30" t="s">
        <v>4</v>
      </c>
      <c r="L30" t="s">
        <v>9</v>
      </c>
      <c r="M30">
        <f>J30</f>
        <v>6</v>
      </c>
      <c r="N30" t="s">
        <v>4</v>
      </c>
    </row>
    <row r="31" spans="5:14" x14ac:dyDescent="0.4">
      <c r="F31" t="s">
        <v>10</v>
      </c>
      <c r="G31">
        <v>155</v>
      </c>
      <c r="H31" t="s">
        <v>0</v>
      </c>
      <c r="I31">
        <f t="shared" si="6"/>
        <v>6.6579537000000002</v>
      </c>
      <c r="J31">
        <f t="shared" si="7"/>
        <v>7</v>
      </c>
      <c r="K31" t="s">
        <v>4</v>
      </c>
      <c r="L31" t="s">
        <v>18</v>
      </c>
      <c r="M31">
        <f>J31-$J$6</f>
        <v>1</v>
      </c>
      <c r="N31" t="s">
        <v>4</v>
      </c>
    </row>
    <row r="32" spans="5:14" x14ac:dyDescent="0.4">
      <c r="F32" t="s">
        <v>11</v>
      </c>
      <c r="G32">
        <v>155</v>
      </c>
      <c r="H32" t="s">
        <v>0</v>
      </c>
      <c r="I32">
        <f t="shared" si="6"/>
        <v>6.6579537000000002</v>
      </c>
      <c r="J32">
        <f t="shared" si="7"/>
        <v>7</v>
      </c>
      <c r="K32" t="s">
        <v>4</v>
      </c>
      <c r="L32" t="s">
        <v>9</v>
      </c>
      <c r="M32">
        <f>J32</f>
        <v>7</v>
      </c>
      <c r="N32" t="s">
        <v>4</v>
      </c>
    </row>
    <row r="33" spans="6:14" x14ac:dyDescent="0.4">
      <c r="F33" t="s">
        <v>12</v>
      </c>
      <c r="G33">
        <v>195</v>
      </c>
      <c r="H33" t="s">
        <v>0</v>
      </c>
      <c r="I33">
        <f t="shared" si="6"/>
        <v>8.3761352999999996</v>
      </c>
      <c r="J33">
        <f t="shared" si="7"/>
        <v>8</v>
      </c>
      <c r="K33" t="s">
        <v>4</v>
      </c>
      <c r="L33" t="s">
        <v>18</v>
      </c>
      <c r="M33">
        <f>J33-$J$6</f>
        <v>2</v>
      </c>
      <c r="N33" t="s">
        <v>4</v>
      </c>
    </row>
    <row r="34" spans="6:14" x14ac:dyDescent="0.4">
      <c r="F34" t="s">
        <v>13</v>
      </c>
      <c r="G34">
        <v>185</v>
      </c>
      <c r="H34" t="s">
        <v>0</v>
      </c>
      <c r="I34">
        <f t="shared" si="6"/>
        <v>7.9465899000000002</v>
      </c>
      <c r="J34">
        <f t="shared" si="7"/>
        <v>8</v>
      </c>
      <c r="K34" t="s">
        <v>4</v>
      </c>
      <c r="L34" t="s">
        <v>9</v>
      </c>
      <c r="M34">
        <f>J34</f>
        <v>8</v>
      </c>
      <c r="N34" t="s">
        <v>4</v>
      </c>
    </row>
    <row r="35" spans="6:14" x14ac:dyDescent="0.4">
      <c r="F35" t="s">
        <v>16</v>
      </c>
      <c r="G35">
        <v>155</v>
      </c>
      <c r="H35" t="s">
        <v>0</v>
      </c>
      <c r="I35">
        <f t="shared" si="6"/>
        <v>6.6579537000000002</v>
      </c>
      <c r="J35">
        <f t="shared" si="7"/>
        <v>7</v>
      </c>
      <c r="K35" t="s">
        <v>4</v>
      </c>
      <c r="L35" t="s">
        <v>18</v>
      </c>
      <c r="M35">
        <f>J35-$J$6</f>
        <v>1</v>
      </c>
      <c r="N35" t="s">
        <v>4</v>
      </c>
    </row>
    <row r="36" spans="6:14" x14ac:dyDescent="0.4">
      <c r="F36" t="s">
        <v>17</v>
      </c>
      <c r="G36">
        <v>145</v>
      </c>
      <c r="H36" t="s">
        <v>0</v>
      </c>
      <c r="I36">
        <f t="shared" si="6"/>
        <v>6.2284082999999999</v>
      </c>
      <c r="J36">
        <f t="shared" si="7"/>
        <v>6</v>
      </c>
      <c r="K36" t="s">
        <v>4</v>
      </c>
      <c r="L36" t="s">
        <v>9</v>
      </c>
      <c r="M36">
        <f>J36</f>
        <v>6</v>
      </c>
      <c r="N36" t="s">
        <v>4</v>
      </c>
    </row>
    <row r="37" spans="6:14" x14ac:dyDescent="0.4">
      <c r="F37" t="s">
        <v>23</v>
      </c>
      <c r="G37">
        <v>190</v>
      </c>
      <c r="H37" t="s">
        <v>0</v>
      </c>
      <c r="I37">
        <f t="shared" si="6"/>
        <v>8.1613626000000004</v>
      </c>
      <c r="J37">
        <f t="shared" si="7"/>
        <v>8</v>
      </c>
      <c r="K37" t="s">
        <v>4</v>
      </c>
      <c r="L37" t="s">
        <v>26</v>
      </c>
      <c r="M37">
        <f>J37-$J$6</f>
        <v>2</v>
      </c>
      <c r="N37" t="s">
        <v>4</v>
      </c>
    </row>
    <row r="38" spans="6:14" x14ac:dyDescent="0.4">
      <c r="F38" t="s">
        <v>24</v>
      </c>
      <c r="G38">
        <v>180</v>
      </c>
      <c r="H38" t="s">
        <v>0</v>
      </c>
      <c r="I38">
        <f t="shared" si="6"/>
        <v>7.7318172000000001</v>
      </c>
      <c r="J38">
        <f t="shared" si="7"/>
        <v>8</v>
      </c>
      <c r="K38" t="s">
        <v>4</v>
      </c>
      <c r="L38" t="s">
        <v>25</v>
      </c>
      <c r="M38">
        <f>J38</f>
        <v>8</v>
      </c>
      <c r="N38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6E6F-7649-45C1-8194-863B431B5DB5}">
  <dimension ref="B2:J38"/>
  <sheetViews>
    <sheetView topLeftCell="A6" workbookViewId="0">
      <selection activeCell="H13" sqref="H13"/>
    </sheetView>
  </sheetViews>
  <sheetFormatPr defaultRowHeight="18.75" x14ac:dyDescent="0.4"/>
  <sheetData>
    <row r="2" spans="2:10" x14ac:dyDescent="0.4">
      <c r="B2">
        <v>42.954540000000001</v>
      </c>
      <c r="C2" t="s">
        <v>27</v>
      </c>
      <c r="D2">
        <v>23.280426236667882</v>
      </c>
      <c r="E2" t="s">
        <v>28</v>
      </c>
    </row>
    <row r="3" spans="2:10" x14ac:dyDescent="0.4">
      <c r="B3">
        <v>3.579545</v>
      </c>
      <c r="C3" t="s">
        <v>27</v>
      </c>
      <c r="D3">
        <v>279.3651148400146</v>
      </c>
      <c r="E3" t="s">
        <v>28</v>
      </c>
    </row>
    <row r="5" spans="2:10" x14ac:dyDescent="0.4">
      <c r="F5" t="s">
        <v>29</v>
      </c>
      <c r="G5" s="1" t="s">
        <v>53</v>
      </c>
      <c r="H5" s="1">
        <v>2</v>
      </c>
      <c r="I5" t="s">
        <v>30</v>
      </c>
    </row>
    <row r="6" spans="2:10" x14ac:dyDescent="0.4">
      <c r="F6" t="s">
        <v>31</v>
      </c>
      <c r="G6" s="1" t="s">
        <v>53</v>
      </c>
      <c r="H6" s="1">
        <v>6</v>
      </c>
      <c r="I6" t="s">
        <v>30</v>
      </c>
    </row>
    <row r="7" spans="2:10" x14ac:dyDescent="0.4">
      <c r="G7" s="1"/>
      <c r="H7" s="1"/>
    </row>
    <row r="8" spans="2:10" x14ac:dyDescent="0.4">
      <c r="E8" t="s">
        <v>32</v>
      </c>
      <c r="G8" s="1"/>
      <c r="H8" s="1"/>
    </row>
    <row r="9" spans="2:10" x14ac:dyDescent="0.4">
      <c r="F9" t="s">
        <v>33</v>
      </c>
      <c r="G9" s="1" t="s">
        <v>34</v>
      </c>
      <c r="H9" s="1">
        <v>12</v>
      </c>
      <c r="I9" t="s">
        <v>30</v>
      </c>
    </row>
    <row r="10" spans="2:10" x14ac:dyDescent="0.4">
      <c r="F10" t="s">
        <v>35</v>
      </c>
      <c r="G10" s="1" t="s">
        <v>36</v>
      </c>
      <c r="H10" s="1">
        <v>12</v>
      </c>
      <c r="I10" t="s">
        <v>30</v>
      </c>
    </row>
    <row r="11" spans="2:10" x14ac:dyDescent="0.4">
      <c r="F11" t="s">
        <v>37</v>
      </c>
      <c r="G11" s="1" t="s">
        <v>18</v>
      </c>
      <c r="H11" s="1">
        <v>1</v>
      </c>
      <c r="I11" t="s">
        <v>30</v>
      </c>
    </row>
    <row r="12" spans="2:10" x14ac:dyDescent="0.4">
      <c r="F12" t="s">
        <v>38</v>
      </c>
      <c r="G12" s="1" t="s">
        <v>26</v>
      </c>
      <c r="H12" s="1">
        <v>1</v>
      </c>
      <c r="I12" t="s">
        <v>30</v>
      </c>
    </row>
    <row r="13" spans="2:10" x14ac:dyDescent="0.4">
      <c r="F13" t="s">
        <v>39</v>
      </c>
      <c r="G13" s="1" t="s">
        <v>40</v>
      </c>
      <c r="H13" s="1">
        <v>2</v>
      </c>
      <c r="I13" t="s">
        <v>30</v>
      </c>
      <c r="J13" t="s">
        <v>54</v>
      </c>
    </row>
    <row r="14" spans="2:10" x14ac:dyDescent="0.4">
      <c r="F14" t="s">
        <v>41</v>
      </c>
      <c r="G14" s="1" t="s">
        <v>42</v>
      </c>
      <c r="H14" s="1">
        <v>2</v>
      </c>
      <c r="I14" t="s">
        <v>30</v>
      </c>
      <c r="J14" t="s">
        <v>54</v>
      </c>
    </row>
    <row r="15" spans="2:10" x14ac:dyDescent="0.4">
      <c r="F15" t="s">
        <v>43</v>
      </c>
      <c r="G15" s="1" t="s">
        <v>40</v>
      </c>
      <c r="H15" s="1">
        <v>12</v>
      </c>
      <c r="I15" t="s">
        <v>30</v>
      </c>
      <c r="J15" t="s">
        <v>55</v>
      </c>
    </row>
    <row r="16" spans="2:10" x14ac:dyDescent="0.4">
      <c r="F16" t="s">
        <v>44</v>
      </c>
      <c r="G16" s="1" t="s">
        <v>36</v>
      </c>
      <c r="H16" s="1">
        <v>11</v>
      </c>
      <c r="I16" t="s">
        <v>30</v>
      </c>
      <c r="J16" t="s">
        <v>55</v>
      </c>
    </row>
    <row r="17" spans="5:10" x14ac:dyDescent="0.4">
      <c r="F17" t="s">
        <v>45</v>
      </c>
      <c r="G17" s="1" t="s">
        <v>40</v>
      </c>
      <c r="H17" s="1">
        <v>1</v>
      </c>
      <c r="I17" t="s">
        <v>30</v>
      </c>
      <c r="J17" t="s">
        <v>54</v>
      </c>
    </row>
    <row r="18" spans="5:10" x14ac:dyDescent="0.4">
      <c r="F18" t="s">
        <v>46</v>
      </c>
      <c r="G18" s="1" t="s">
        <v>36</v>
      </c>
      <c r="H18" s="1">
        <v>12</v>
      </c>
      <c r="I18" t="s">
        <v>30</v>
      </c>
      <c r="J18" t="s">
        <v>54</v>
      </c>
    </row>
    <row r="19" spans="5:10" x14ac:dyDescent="0.4">
      <c r="G19" s="1"/>
      <c r="H19" s="1"/>
    </row>
    <row r="20" spans="5:10" x14ac:dyDescent="0.4">
      <c r="E20" t="s">
        <v>47</v>
      </c>
      <c r="G20" s="1"/>
      <c r="H20" s="1"/>
    </row>
    <row r="21" spans="5:10" x14ac:dyDescent="0.4">
      <c r="F21" t="s">
        <v>48</v>
      </c>
      <c r="G21" s="1" t="s">
        <v>40</v>
      </c>
      <c r="H21" s="1">
        <v>6</v>
      </c>
      <c r="I21" t="s">
        <v>30</v>
      </c>
    </row>
    <row r="22" spans="5:10" x14ac:dyDescent="0.4">
      <c r="F22" t="s">
        <v>49</v>
      </c>
      <c r="G22" s="1" t="s">
        <v>36</v>
      </c>
      <c r="H22" s="1">
        <v>12</v>
      </c>
      <c r="I22" t="s">
        <v>30</v>
      </c>
    </row>
    <row r="23" spans="5:10" x14ac:dyDescent="0.4">
      <c r="F23" t="s">
        <v>43</v>
      </c>
      <c r="G23" s="1" t="s">
        <v>40</v>
      </c>
      <c r="H23" s="1">
        <v>5</v>
      </c>
      <c r="I23" t="s">
        <v>30</v>
      </c>
      <c r="J23" t="s">
        <v>55</v>
      </c>
    </row>
    <row r="24" spans="5:10" x14ac:dyDescent="0.4">
      <c r="F24" t="s">
        <v>44</v>
      </c>
      <c r="G24" s="1" t="s">
        <v>36</v>
      </c>
      <c r="H24" s="1">
        <v>11</v>
      </c>
      <c r="I24" t="s">
        <v>30</v>
      </c>
      <c r="J24" t="s">
        <v>55</v>
      </c>
    </row>
    <row r="25" spans="5:10" x14ac:dyDescent="0.4">
      <c r="F25" t="s">
        <v>45</v>
      </c>
      <c r="G25" s="1" t="s">
        <v>40</v>
      </c>
      <c r="H25" s="1">
        <v>6</v>
      </c>
      <c r="I25" t="s">
        <v>30</v>
      </c>
      <c r="J25" t="s">
        <v>54</v>
      </c>
    </row>
    <row r="26" spans="5:10" x14ac:dyDescent="0.4">
      <c r="F26" t="s">
        <v>46</v>
      </c>
      <c r="G26" s="1" t="s">
        <v>36</v>
      </c>
      <c r="H26" s="1">
        <v>12</v>
      </c>
      <c r="I26" t="s">
        <v>30</v>
      </c>
      <c r="J26" t="s">
        <v>54</v>
      </c>
    </row>
    <row r="27" spans="5:10" x14ac:dyDescent="0.4">
      <c r="G27" s="1"/>
      <c r="H27" s="1"/>
    </row>
    <row r="28" spans="5:10" x14ac:dyDescent="0.4">
      <c r="E28" t="s">
        <v>56</v>
      </c>
      <c r="G28" s="1"/>
      <c r="H28" s="1"/>
    </row>
    <row r="29" spans="5:10" x14ac:dyDescent="0.4">
      <c r="F29" t="s">
        <v>33</v>
      </c>
      <c r="G29" s="1" t="s">
        <v>34</v>
      </c>
      <c r="H29" s="1">
        <v>12</v>
      </c>
      <c r="I29" t="s">
        <v>30</v>
      </c>
    </row>
    <row r="30" spans="5:10" x14ac:dyDescent="0.4">
      <c r="F30" t="s">
        <v>35</v>
      </c>
      <c r="G30" s="1" t="s">
        <v>36</v>
      </c>
      <c r="H30" s="1">
        <v>6</v>
      </c>
      <c r="I30" t="s">
        <v>30</v>
      </c>
    </row>
    <row r="31" spans="5:10" x14ac:dyDescent="0.4">
      <c r="F31" t="s">
        <v>37</v>
      </c>
      <c r="G31" s="1" t="s">
        <v>40</v>
      </c>
      <c r="H31" s="1">
        <v>1</v>
      </c>
      <c r="I31" t="s">
        <v>30</v>
      </c>
    </row>
    <row r="32" spans="5:10" x14ac:dyDescent="0.4">
      <c r="F32" t="s">
        <v>38</v>
      </c>
      <c r="G32" s="1" t="s">
        <v>36</v>
      </c>
      <c r="H32" s="1">
        <v>7</v>
      </c>
      <c r="I32" t="s">
        <v>30</v>
      </c>
    </row>
    <row r="33" spans="6:9" x14ac:dyDescent="0.4">
      <c r="F33" t="s">
        <v>39</v>
      </c>
      <c r="G33" s="1" t="s">
        <v>40</v>
      </c>
      <c r="H33" s="1">
        <v>2</v>
      </c>
      <c r="I33" t="s">
        <v>30</v>
      </c>
    </row>
    <row r="34" spans="6:9" x14ac:dyDescent="0.4">
      <c r="F34" t="s">
        <v>41</v>
      </c>
      <c r="G34" s="1" t="s">
        <v>36</v>
      </c>
      <c r="H34" s="1">
        <v>8</v>
      </c>
      <c r="I34" t="s">
        <v>30</v>
      </c>
    </row>
    <row r="35" spans="6:9" x14ac:dyDescent="0.4">
      <c r="F35" t="s">
        <v>45</v>
      </c>
      <c r="G35" s="1" t="s">
        <v>40</v>
      </c>
      <c r="H35" s="1">
        <v>1</v>
      </c>
      <c r="I35" t="s">
        <v>30</v>
      </c>
    </row>
    <row r="36" spans="6:9" x14ac:dyDescent="0.4">
      <c r="F36" t="s">
        <v>46</v>
      </c>
      <c r="G36" s="1" t="s">
        <v>36</v>
      </c>
      <c r="H36" s="1">
        <v>6</v>
      </c>
      <c r="I36" t="s">
        <v>30</v>
      </c>
    </row>
    <row r="37" spans="6:9" x14ac:dyDescent="0.4">
      <c r="F37" t="s">
        <v>50</v>
      </c>
      <c r="G37" s="1" t="s">
        <v>42</v>
      </c>
      <c r="H37" s="1">
        <v>2</v>
      </c>
      <c r="I37" t="s">
        <v>30</v>
      </c>
    </row>
    <row r="38" spans="6:9" x14ac:dyDescent="0.4">
      <c r="F38" t="s">
        <v>51</v>
      </c>
      <c r="G38" s="1" t="s">
        <v>52</v>
      </c>
      <c r="H38" s="1">
        <v>8</v>
      </c>
      <c r="I38" t="s">
        <v>30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2026-09-03T09:24:31Z</dcterms:created>
  <dcterms:modified xsi:type="dcterms:W3CDTF">2026-09-03T12:04:20Z</dcterms:modified>
</cp:coreProperties>
</file>