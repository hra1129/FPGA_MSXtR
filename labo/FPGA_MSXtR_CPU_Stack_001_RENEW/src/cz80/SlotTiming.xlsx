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a\Documents\github\HRA_product\FPGA_MSXtR\labo\FPGA_MSXtR_CPU_Stack_001_RENEW\src\cz80\"/>
    </mc:Choice>
  </mc:AlternateContent>
  <xr:revisionPtr revIDLastSave="0" documentId="13_ncr:1_{8F3F1131-DB28-4E6C-A590-5A96B7BA12BC}" xr6:coauthVersionLast="47" xr6:coauthVersionMax="47" xr10:uidLastSave="{00000000-0000-0000-0000-000000000000}"/>
  <bookViews>
    <workbookView xWindow="0" yWindow="4170" windowWidth="25065" windowHeight="13110" activeTab="1" xr2:uid="{AC65AD65-EC2C-4009-86B9-C5FE140E570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2" l="1"/>
  <c r="Q40" i="1"/>
  <c r="M40" i="1"/>
  <c r="I41" i="1"/>
  <c r="J41" i="1" s="1"/>
  <c r="M41" i="1" s="1"/>
  <c r="Q41" i="1" s="1"/>
  <c r="I40" i="1"/>
  <c r="J40" i="1" s="1"/>
  <c r="D3" i="1"/>
  <c r="G6" i="1" s="1"/>
  <c r="B2" i="1"/>
  <c r="D2" i="1" s="1"/>
  <c r="I5" i="1" s="1"/>
  <c r="J5" i="1" s="1"/>
  <c r="I29" i="1" l="1"/>
  <c r="J29" i="1" s="1"/>
  <c r="M29" i="1" s="1"/>
  <c r="Q29" i="1" s="1"/>
  <c r="I39" i="1"/>
  <c r="J39" i="1" s="1"/>
  <c r="M39" i="1" s="1"/>
  <c r="Q39" i="1" s="1"/>
  <c r="I38" i="1"/>
  <c r="J38" i="1" s="1"/>
  <c r="M38" i="1" s="1"/>
  <c r="Q38" i="1" s="1"/>
  <c r="I32" i="1"/>
  <c r="J32" i="1" s="1"/>
  <c r="M32" i="1" s="1"/>
  <c r="Q32" i="1" s="1"/>
  <c r="I35" i="1"/>
  <c r="J35" i="1" s="1"/>
  <c r="M35" i="1" s="1"/>
  <c r="Q35" i="1" s="1"/>
  <c r="I23" i="1"/>
  <c r="J23" i="1" s="1"/>
  <c r="M23" i="1" s="1"/>
  <c r="Q23" i="1" s="1"/>
  <c r="I26" i="1"/>
  <c r="J26" i="1" s="1"/>
  <c r="I30" i="1"/>
  <c r="J30" i="1" s="1"/>
  <c r="I31" i="1"/>
  <c r="J31" i="1" s="1"/>
  <c r="M31" i="1" s="1"/>
  <c r="Q31" i="1" s="1"/>
  <c r="I33" i="1"/>
  <c r="J33" i="1" s="1"/>
  <c r="M33" i="1" s="1"/>
  <c r="Q33" i="1" s="1"/>
  <c r="I36" i="1"/>
  <c r="J36" i="1" s="1"/>
  <c r="M36" i="1" s="1"/>
  <c r="Q36" i="1" s="1"/>
  <c r="I21" i="1"/>
  <c r="J21" i="1" s="1"/>
  <c r="M21" i="1" s="1"/>
  <c r="Q21" i="1" s="1"/>
  <c r="I22" i="1"/>
  <c r="J22" i="1" s="1"/>
  <c r="M22" i="1" s="1"/>
  <c r="Q22" i="1" s="1"/>
  <c r="I24" i="1"/>
  <c r="J24" i="1" s="1"/>
  <c r="I25" i="1"/>
  <c r="J25" i="1" s="1"/>
  <c r="M25" i="1" s="1"/>
  <c r="Q25" i="1" s="1"/>
  <c r="I34" i="1"/>
  <c r="J34" i="1" s="1"/>
  <c r="M34" i="1" s="1"/>
  <c r="Q34" i="1" s="1"/>
  <c r="I37" i="1"/>
  <c r="J37" i="1" s="1"/>
  <c r="M37" i="1" s="1"/>
  <c r="Q37" i="1" s="1"/>
  <c r="I6" i="1"/>
  <c r="J6" i="1" s="1"/>
  <c r="I16" i="1"/>
  <c r="J16" i="1" s="1"/>
  <c r="M16" i="1" s="1"/>
  <c r="Q16" i="1" s="1"/>
  <c r="I13" i="1"/>
  <c r="J13" i="1" s="1"/>
  <c r="M13" i="1" s="1"/>
  <c r="Q13" i="1" s="1"/>
  <c r="I14" i="1"/>
  <c r="J14" i="1" s="1"/>
  <c r="M14" i="1" s="1"/>
  <c r="Q14" i="1" s="1"/>
  <c r="I15" i="1"/>
  <c r="J15" i="1" s="1"/>
  <c r="I12" i="1"/>
  <c r="J12" i="1" s="1"/>
  <c r="M12" i="1" s="1"/>
  <c r="Q12" i="1" s="1"/>
  <c r="I17" i="1"/>
  <c r="J17" i="1" s="1"/>
  <c r="M17" i="1" s="1"/>
  <c r="Q17" i="1" s="1"/>
  <c r="I11" i="1"/>
  <c r="J11" i="1" s="1"/>
  <c r="M11" i="1" s="1"/>
  <c r="Q11" i="1" s="1"/>
  <c r="I18" i="1"/>
  <c r="J18" i="1" s="1"/>
  <c r="I9" i="1"/>
  <c r="J9" i="1" s="1"/>
  <c r="I10" i="1"/>
  <c r="J10" i="1" s="1"/>
  <c r="M18" i="1" l="1"/>
  <c r="Q18" i="1" s="1"/>
  <c r="M10" i="1"/>
  <c r="Q10" i="1" s="1"/>
  <c r="M26" i="1"/>
  <c r="Q26" i="1" s="1"/>
  <c r="M15" i="1"/>
  <c r="Q15" i="1" s="1"/>
  <c r="M24" i="1"/>
  <c r="Q24" i="1" s="1"/>
  <c r="M9" i="1"/>
  <c r="Q9" i="1" s="1"/>
  <c r="M30" i="1"/>
  <c r="Q30" i="1" s="1"/>
</calcChain>
</file>

<file path=xl/sharedStrings.xml><?xml version="1.0" encoding="utf-8"?>
<sst xmlns="http://schemas.openxmlformats.org/spreadsheetml/2006/main" count="326" uniqueCount="63">
  <si>
    <t>ns</t>
    <phoneticPr fontId="1"/>
  </si>
  <si>
    <t>MHz</t>
    <phoneticPr fontId="1"/>
  </si>
  <si>
    <t>メモリサイクル</t>
    <phoneticPr fontId="1"/>
  </si>
  <si>
    <t>Slot clock</t>
    <phoneticPr fontId="1"/>
  </si>
  <si>
    <t>clk</t>
    <phoneticPr fontId="1"/>
  </si>
  <si>
    <t>T-Cycle half</t>
    <phoneticPr fontId="1"/>
  </si>
  <si>
    <t>/MREQ fall</t>
    <phoneticPr fontId="1"/>
  </si>
  <si>
    <t>/MERQ rise</t>
    <phoneticPr fontId="1"/>
  </si>
  <si>
    <t>T1</t>
    <phoneticPr fontId="1"/>
  </si>
  <si>
    <t>T3</t>
    <phoneticPr fontId="1"/>
  </si>
  <si>
    <t>/SLTSL fall</t>
    <phoneticPr fontId="1"/>
  </si>
  <si>
    <t>/SLTSL rise</t>
    <phoneticPr fontId="1"/>
  </si>
  <si>
    <t>/CS fall</t>
    <phoneticPr fontId="1"/>
  </si>
  <si>
    <t>/CS rise</t>
    <phoneticPr fontId="1"/>
  </si>
  <si>
    <t>/WR fall</t>
    <phoneticPr fontId="1"/>
  </si>
  <si>
    <t>/WR rise</t>
    <phoneticPr fontId="1"/>
  </si>
  <si>
    <t>/RD fall</t>
    <phoneticPr fontId="1"/>
  </si>
  <si>
    <t>/RD rise</t>
    <phoneticPr fontId="1"/>
  </si>
  <si>
    <t>T2</t>
    <phoneticPr fontId="1"/>
  </si>
  <si>
    <t>I/Oサイクル</t>
    <phoneticPr fontId="1"/>
  </si>
  <si>
    <t>/IOREQ fall</t>
    <phoneticPr fontId="1"/>
  </si>
  <si>
    <t>/IOREQ rise</t>
    <phoneticPr fontId="1"/>
  </si>
  <si>
    <t>M1サイクル</t>
    <phoneticPr fontId="1"/>
  </si>
  <si>
    <t>/RFSH fall</t>
    <phoneticPr fontId="1"/>
  </si>
  <si>
    <t>/RFSH rise</t>
    <phoneticPr fontId="1"/>
  </si>
  <si>
    <t>T5</t>
    <phoneticPr fontId="1"/>
  </si>
  <si>
    <t>T4</t>
    <phoneticPr fontId="1"/>
  </si>
  <si>
    <t>MHz</t>
  </si>
  <si>
    <t>ns</t>
  </si>
  <si>
    <t>Slot clock</t>
  </si>
  <si>
    <t>clk</t>
  </si>
  <si>
    <t>T-Cycle half</t>
  </si>
  <si>
    <t>メモリサイクル</t>
  </si>
  <si>
    <t>/MREQ fall</t>
  </si>
  <si>
    <t>T1</t>
  </si>
  <si>
    <t>/MERQ rise</t>
  </si>
  <si>
    <t>T3</t>
  </si>
  <si>
    <t>/SLTSL fall</t>
  </si>
  <si>
    <t>/SLTSL rise</t>
  </si>
  <si>
    <t>/CS fall</t>
  </si>
  <si>
    <t>T2</t>
  </si>
  <si>
    <t>/CS rise</t>
  </si>
  <si>
    <t>/WR fall</t>
  </si>
  <si>
    <t>/WR rise</t>
  </si>
  <si>
    <t>/RD fall</t>
  </si>
  <si>
    <t>/RD rise</t>
  </si>
  <si>
    <t>I/Oサイクル</t>
  </si>
  <si>
    <t>/IOREQ fall</t>
  </si>
  <si>
    <t>/IOREQ rise</t>
  </si>
  <si>
    <t>/RFSH fall</t>
  </si>
  <si>
    <t>/RFSH rise</t>
  </si>
  <si>
    <t>T5</t>
  </si>
  <si>
    <t>-</t>
    <phoneticPr fontId="1"/>
  </si>
  <si>
    <t>※ read時のみ</t>
    <rPh sb="6" eb="7">
      <t>ジ</t>
    </rPh>
    <phoneticPr fontId="1"/>
  </si>
  <si>
    <t>※ write時のみ</t>
    <rPh sb="7" eb="8">
      <t>ジ</t>
    </rPh>
    <phoneticPr fontId="1"/>
  </si>
  <si>
    <t>M1サイクル（readのみ）</t>
    <phoneticPr fontId="1"/>
  </si>
  <si>
    <t>A</t>
    <phoneticPr fontId="1"/>
  </si>
  <si>
    <t>ns</t>
    <phoneticPr fontId="1"/>
  </si>
  <si>
    <t>T1</t>
    <phoneticPr fontId="1"/>
  </si>
  <si>
    <t>clk</t>
    <phoneticPr fontId="1"/>
  </si>
  <si>
    <t>調整</t>
    <rPh sb="0" eb="2">
      <t>チョウセイ</t>
    </rPh>
    <phoneticPr fontId="1"/>
  </si>
  <si>
    <t>/M1 fall</t>
    <phoneticPr fontId="1"/>
  </si>
  <si>
    <t>/M1 rise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</si>
</sst>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04E2-90FE-4E47-8635-AC9CF9CDD4EA}">
  <dimension ref="B2:R41"/>
  <sheetViews>
    <sheetView topLeftCell="D15" workbookViewId="0">
      <selection activeCell="F40" sqref="F40:F41"/>
    </sheetView>
  </sheetViews>
  <sheetFormatPr defaultRowHeight="18.75" x14ac:dyDescent="0.4"/>
  <cols>
    <col min="3" max="3" width="5.5" customWidth="1"/>
    <col min="5" max="5" width="4.375" customWidth="1"/>
    <col min="6" max="6" width="11.875" customWidth="1"/>
    <col min="12" max="12" width="4.75" customWidth="1"/>
    <col min="13" max="13" width="3.5" bestFit="1" customWidth="1"/>
    <col min="16" max="16" width="3.625" bestFit="1" customWidth="1"/>
    <col min="17" max="17" width="3.5" bestFit="1" customWidth="1"/>
  </cols>
  <sheetData>
    <row r="2" spans="2:18" x14ac:dyDescent="0.4">
      <c r="B2">
        <f>3.579545*12</f>
        <v>42.954540000000001</v>
      </c>
      <c r="C2" t="s">
        <v>1</v>
      </c>
      <c r="D2">
        <f>1000000000/(B2*1000000)</f>
        <v>23.280426236667882</v>
      </c>
      <c r="E2" t="s">
        <v>0</v>
      </c>
    </row>
    <row r="3" spans="2:18" x14ac:dyDescent="0.4">
      <c r="B3">
        <v>3.579545</v>
      </c>
      <c r="C3" t="s">
        <v>1</v>
      </c>
      <c r="D3">
        <f>1000000000/(B3*1000000)</f>
        <v>279.3651148400146</v>
      </c>
      <c r="E3" t="s">
        <v>0</v>
      </c>
    </row>
    <row r="5" spans="2:18" x14ac:dyDescent="0.4">
      <c r="F5" t="s">
        <v>3</v>
      </c>
      <c r="G5">
        <v>40</v>
      </c>
      <c r="H5" t="s">
        <v>0</v>
      </c>
      <c r="I5">
        <f>G5/$D$2</f>
        <v>1.7181816000000001</v>
      </c>
      <c r="J5">
        <f>ROUND(I5,0)</f>
        <v>2</v>
      </c>
      <c r="K5" t="s">
        <v>4</v>
      </c>
    </row>
    <row r="6" spans="2:18" x14ac:dyDescent="0.4">
      <c r="F6" t="s">
        <v>5</v>
      </c>
      <c r="G6">
        <f>D3/2</f>
        <v>139.6825574200073</v>
      </c>
      <c r="H6" t="s">
        <v>0</v>
      </c>
      <c r="I6">
        <f>G6/$D$2</f>
        <v>6</v>
      </c>
      <c r="J6">
        <f>ROUND(I6,0)</f>
        <v>6</v>
      </c>
      <c r="K6" t="s">
        <v>4</v>
      </c>
    </row>
    <row r="7" spans="2:18" x14ac:dyDescent="0.4">
      <c r="P7" s="2" t="s">
        <v>60</v>
      </c>
      <c r="Q7" s="2"/>
      <c r="R7" s="2"/>
    </row>
    <row r="8" spans="2:18" x14ac:dyDescent="0.4">
      <c r="E8" t="s">
        <v>2</v>
      </c>
    </row>
    <row r="9" spans="2:18" x14ac:dyDescent="0.4">
      <c r="F9" t="s">
        <v>6</v>
      </c>
      <c r="G9">
        <v>145</v>
      </c>
      <c r="H9" t="s">
        <v>0</v>
      </c>
      <c r="I9">
        <f t="shared" ref="I9:I18" si="0">G9/$D$2</f>
        <v>6.2284082999999999</v>
      </c>
      <c r="J9">
        <f t="shared" ref="J9:J18" si="1">ROUND(I9,0)</f>
        <v>6</v>
      </c>
      <c r="K9" t="s">
        <v>4</v>
      </c>
      <c r="L9" t="s">
        <v>8</v>
      </c>
      <c r="M9">
        <f>J9+$J$6</f>
        <v>12</v>
      </c>
      <c r="N9" t="s">
        <v>4</v>
      </c>
      <c r="P9" t="s">
        <v>8</v>
      </c>
      <c r="Q9">
        <f>M9-6</f>
        <v>6</v>
      </c>
      <c r="R9" t="s">
        <v>59</v>
      </c>
    </row>
    <row r="10" spans="2:18" x14ac:dyDescent="0.4">
      <c r="F10" t="s">
        <v>7</v>
      </c>
      <c r="G10">
        <v>145</v>
      </c>
      <c r="H10" t="s">
        <v>0</v>
      </c>
      <c r="I10">
        <f t="shared" si="0"/>
        <v>6.2284082999999999</v>
      </c>
      <c r="J10">
        <f t="shared" si="1"/>
        <v>6</v>
      </c>
      <c r="K10" t="s">
        <v>4</v>
      </c>
      <c r="L10" t="s">
        <v>9</v>
      </c>
      <c r="M10">
        <f t="shared" ref="M10:M18" si="2">J10+$J$6</f>
        <v>12</v>
      </c>
      <c r="N10" t="s">
        <v>4</v>
      </c>
      <c r="P10" t="s">
        <v>9</v>
      </c>
      <c r="Q10">
        <f t="shared" ref="Q10:Q39" si="3">M10-6</f>
        <v>6</v>
      </c>
      <c r="R10" t="s">
        <v>59</v>
      </c>
    </row>
    <row r="11" spans="2:18" x14ac:dyDescent="0.4">
      <c r="F11" t="s">
        <v>10</v>
      </c>
      <c r="G11">
        <v>155</v>
      </c>
      <c r="H11" t="s">
        <v>0</v>
      </c>
      <c r="I11">
        <f t="shared" si="0"/>
        <v>6.6579537000000002</v>
      </c>
      <c r="J11">
        <f t="shared" si="1"/>
        <v>7</v>
      </c>
      <c r="K11" t="s">
        <v>4</v>
      </c>
      <c r="L11" t="s">
        <v>18</v>
      </c>
      <c r="M11">
        <f>J11-$J$6</f>
        <v>1</v>
      </c>
      <c r="N11" t="s">
        <v>4</v>
      </c>
      <c r="P11" t="s">
        <v>8</v>
      </c>
      <c r="Q11">
        <f>M11-6+12</f>
        <v>7</v>
      </c>
      <c r="R11" t="s">
        <v>59</v>
      </c>
    </row>
    <row r="12" spans="2:18" x14ac:dyDescent="0.4">
      <c r="F12" t="s">
        <v>11</v>
      </c>
      <c r="G12">
        <v>155</v>
      </c>
      <c r="H12" t="s">
        <v>0</v>
      </c>
      <c r="I12">
        <f t="shared" si="0"/>
        <v>6.6579537000000002</v>
      </c>
      <c r="J12">
        <f t="shared" si="1"/>
        <v>7</v>
      </c>
      <c r="K12" t="s">
        <v>4</v>
      </c>
      <c r="L12" t="s">
        <v>26</v>
      </c>
      <c r="M12">
        <f>J12-$J$6</f>
        <v>1</v>
      </c>
      <c r="N12" t="s">
        <v>4</v>
      </c>
      <c r="P12" t="s">
        <v>9</v>
      </c>
      <c r="Q12">
        <f>M12-6+12</f>
        <v>7</v>
      </c>
      <c r="R12" t="s">
        <v>59</v>
      </c>
    </row>
    <row r="13" spans="2:18" x14ac:dyDescent="0.4">
      <c r="F13" t="s">
        <v>12</v>
      </c>
      <c r="G13">
        <v>195</v>
      </c>
      <c r="H13" t="s">
        <v>0</v>
      </c>
      <c r="I13">
        <f t="shared" si="0"/>
        <v>8.3761352999999996</v>
      </c>
      <c r="J13">
        <f t="shared" si="1"/>
        <v>8</v>
      </c>
      <c r="K13" t="s">
        <v>4</v>
      </c>
      <c r="L13" t="s">
        <v>18</v>
      </c>
      <c r="M13">
        <f>J13-$J$6</f>
        <v>2</v>
      </c>
      <c r="N13" t="s">
        <v>4</v>
      </c>
      <c r="P13" t="s">
        <v>8</v>
      </c>
      <c r="Q13">
        <f>M13-6+12</f>
        <v>8</v>
      </c>
      <c r="R13" t="s">
        <v>59</v>
      </c>
    </row>
    <row r="14" spans="2:18" x14ac:dyDescent="0.4">
      <c r="F14" t="s">
        <v>13</v>
      </c>
      <c r="G14">
        <v>195</v>
      </c>
      <c r="H14" t="s">
        <v>0</v>
      </c>
      <c r="I14">
        <f t="shared" si="0"/>
        <v>8.3761352999999996</v>
      </c>
      <c r="J14">
        <f t="shared" si="1"/>
        <v>8</v>
      </c>
      <c r="K14" t="s">
        <v>4</v>
      </c>
      <c r="L14" t="s">
        <v>26</v>
      </c>
      <c r="M14">
        <f>J14-$J$6</f>
        <v>2</v>
      </c>
      <c r="N14" t="s">
        <v>4</v>
      </c>
      <c r="P14" t="s">
        <v>9</v>
      </c>
      <c r="Q14">
        <f>M14-6+12</f>
        <v>8</v>
      </c>
      <c r="R14" t="s">
        <v>59</v>
      </c>
    </row>
    <row r="15" spans="2:18" x14ac:dyDescent="0.4">
      <c r="F15" t="s">
        <v>14</v>
      </c>
      <c r="G15">
        <v>140</v>
      </c>
      <c r="H15" t="s">
        <v>0</v>
      </c>
      <c r="I15">
        <f t="shared" si="0"/>
        <v>6.0136355999999997</v>
      </c>
      <c r="J15">
        <f t="shared" si="1"/>
        <v>6</v>
      </c>
      <c r="K15" t="s">
        <v>4</v>
      </c>
      <c r="L15" t="s">
        <v>18</v>
      </c>
      <c r="M15">
        <f t="shared" si="2"/>
        <v>12</v>
      </c>
      <c r="N15" t="s">
        <v>4</v>
      </c>
      <c r="P15" t="s">
        <v>18</v>
      </c>
      <c r="Q15">
        <f t="shared" si="3"/>
        <v>6</v>
      </c>
      <c r="R15" t="s">
        <v>59</v>
      </c>
    </row>
    <row r="16" spans="2:18" x14ac:dyDescent="0.4">
      <c r="F16" t="s">
        <v>15</v>
      </c>
      <c r="G16">
        <v>120</v>
      </c>
      <c r="H16" t="s">
        <v>0</v>
      </c>
      <c r="I16">
        <f t="shared" si="0"/>
        <v>5.1545448</v>
      </c>
      <c r="J16">
        <f t="shared" si="1"/>
        <v>5</v>
      </c>
      <c r="K16" t="s">
        <v>4</v>
      </c>
      <c r="L16" t="s">
        <v>9</v>
      </c>
      <c r="M16">
        <f t="shared" si="2"/>
        <v>11</v>
      </c>
      <c r="N16" t="s">
        <v>4</v>
      </c>
      <c r="P16" t="s">
        <v>9</v>
      </c>
      <c r="Q16">
        <f t="shared" si="3"/>
        <v>5</v>
      </c>
      <c r="R16" t="s">
        <v>59</v>
      </c>
    </row>
    <row r="17" spans="5:18" x14ac:dyDescent="0.4">
      <c r="F17" t="s">
        <v>16</v>
      </c>
      <c r="G17">
        <v>155</v>
      </c>
      <c r="H17" t="s">
        <v>0</v>
      </c>
      <c r="I17">
        <f t="shared" si="0"/>
        <v>6.6579537000000002</v>
      </c>
      <c r="J17">
        <f t="shared" si="1"/>
        <v>7</v>
      </c>
      <c r="K17" t="s">
        <v>4</v>
      </c>
      <c r="L17" t="s">
        <v>18</v>
      </c>
      <c r="M17">
        <f>J17-$J$6</f>
        <v>1</v>
      </c>
      <c r="N17" t="s">
        <v>4</v>
      </c>
      <c r="P17" t="s">
        <v>8</v>
      </c>
      <c r="Q17">
        <f>M17-6+12</f>
        <v>7</v>
      </c>
      <c r="R17" t="s">
        <v>59</v>
      </c>
    </row>
    <row r="18" spans="5:18" x14ac:dyDescent="0.4">
      <c r="F18" t="s">
        <v>17</v>
      </c>
      <c r="G18">
        <v>145</v>
      </c>
      <c r="H18" t="s">
        <v>0</v>
      </c>
      <c r="I18">
        <f t="shared" si="0"/>
        <v>6.2284082999999999</v>
      </c>
      <c r="J18">
        <f t="shared" si="1"/>
        <v>6</v>
      </c>
      <c r="K18" t="s">
        <v>4</v>
      </c>
      <c r="L18" t="s">
        <v>9</v>
      </c>
      <c r="M18">
        <f t="shared" si="2"/>
        <v>12</v>
      </c>
      <c r="N18" t="s">
        <v>4</v>
      </c>
      <c r="P18" t="s">
        <v>9</v>
      </c>
      <c r="Q18">
        <f t="shared" si="3"/>
        <v>6</v>
      </c>
      <c r="R18" t="s">
        <v>59</v>
      </c>
    </row>
    <row r="20" spans="5:18" x14ac:dyDescent="0.4">
      <c r="E20" t="s">
        <v>19</v>
      </c>
    </row>
    <row r="21" spans="5:18" x14ac:dyDescent="0.4">
      <c r="F21" t="s">
        <v>20</v>
      </c>
      <c r="G21">
        <v>135</v>
      </c>
      <c r="H21" t="s">
        <v>0</v>
      </c>
      <c r="I21">
        <f t="shared" ref="I21:I26" si="4">G21/$D$2</f>
        <v>5.7988628999999996</v>
      </c>
      <c r="J21">
        <f t="shared" ref="J21:J26" si="5">ROUND(I21,0)</f>
        <v>6</v>
      </c>
      <c r="K21" t="s">
        <v>4</v>
      </c>
      <c r="L21" t="s">
        <v>18</v>
      </c>
      <c r="M21">
        <f>J21</f>
        <v>6</v>
      </c>
      <c r="N21" t="s">
        <v>4</v>
      </c>
      <c r="P21" t="s">
        <v>18</v>
      </c>
      <c r="Q21">
        <f t="shared" si="3"/>
        <v>0</v>
      </c>
      <c r="R21" t="s">
        <v>59</v>
      </c>
    </row>
    <row r="22" spans="5:18" x14ac:dyDescent="0.4">
      <c r="F22" t="s">
        <v>21</v>
      </c>
      <c r="G22">
        <v>145</v>
      </c>
      <c r="H22" t="s">
        <v>0</v>
      </c>
      <c r="I22">
        <f t="shared" si="4"/>
        <v>6.2284082999999999</v>
      </c>
      <c r="J22">
        <f t="shared" si="5"/>
        <v>6</v>
      </c>
      <c r="K22" t="s">
        <v>4</v>
      </c>
      <c r="L22" t="s">
        <v>9</v>
      </c>
      <c r="M22">
        <f t="shared" ref="M22:M26" si="6">J22+$J$6</f>
        <v>12</v>
      </c>
      <c r="N22" t="s">
        <v>4</v>
      </c>
      <c r="P22" t="s">
        <v>9</v>
      </c>
      <c r="Q22">
        <f t="shared" si="3"/>
        <v>6</v>
      </c>
      <c r="R22" t="s">
        <v>59</v>
      </c>
    </row>
    <row r="23" spans="5:18" x14ac:dyDescent="0.4">
      <c r="F23" t="s">
        <v>14</v>
      </c>
      <c r="G23">
        <v>125</v>
      </c>
      <c r="H23" t="s">
        <v>0</v>
      </c>
      <c r="I23">
        <f t="shared" si="4"/>
        <v>5.3693175000000002</v>
      </c>
      <c r="J23">
        <f t="shared" si="5"/>
        <v>5</v>
      </c>
      <c r="K23" t="s">
        <v>4</v>
      </c>
      <c r="L23" t="s">
        <v>18</v>
      </c>
      <c r="M23">
        <f>J23</f>
        <v>5</v>
      </c>
      <c r="N23" t="s">
        <v>4</v>
      </c>
      <c r="P23" t="s">
        <v>8</v>
      </c>
      <c r="Q23">
        <f>M23-6+12</f>
        <v>11</v>
      </c>
      <c r="R23" t="s">
        <v>59</v>
      </c>
    </row>
    <row r="24" spans="5:18" x14ac:dyDescent="0.4">
      <c r="F24" t="s">
        <v>15</v>
      </c>
      <c r="G24">
        <v>120</v>
      </c>
      <c r="H24" t="s">
        <v>0</v>
      </c>
      <c r="I24">
        <f t="shared" si="4"/>
        <v>5.1545448</v>
      </c>
      <c r="J24">
        <f t="shared" si="5"/>
        <v>5</v>
      </c>
      <c r="K24" t="s">
        <v>4</v>
      </c>
      <c r="L24" t="s">
        <v>9</v>
      </c>
      <c r="M24">
        <f t="shared" si="6"/>
        <v>11</v>
      </c>
      <c r="N24" t="s">
        <v>4</v>
      </c>
      <c r="P24" t="s">
        <v>9</v>
      </c>
      <c r="Q24">
        <f t="shared" si="3"/>
        <v>5</v>
      </c>
      <c r="R24" t="s">
        <v>59</v>
      </c>
    </row>
    <row r="25" spans="5:18" x14ac:dyDescent="0.4">
      <c r="F25" t="s">
        <v>16</v>
      </c>
      <c r="G25">
        <v>145</v>
      </c>
      <c r="H25" t="s">
        <v>0</v>
      </c>
      <c r="I25">
        <f t="shared" si="4"/>
        <v>6.2284082999999999</v>
      </c>
      <c r="J25">
        <f t="shared" si="5"/>
        <v>6</v>
      </c>
      <c r="K25" t="s">
        <v>4</v>
      </c>
      <c r="L25" t="s">
        <v>18</v>
      </c>
      <c r="M25">
        <f>J25</f>
        <v>6</v>
      </c>
      <c r="N25" t="s">
        <v>4</v>
      </c>
      <c r="P25" t="s">
        <v>18</v>
      </c>
      <c r="Q25">
        <f t="shared" si="3"/>
        <v>0</v>
      </c>
      <c r="R25" t="s">
        <v>59</v>
      </c>
    </row>
    <row r="26" spans="5:18" x14ac:dyDescent="0.4">
      <c r="F26" t="s">
        <v>17</v>
      </c>
      <c r="G26">
        <v>145</v>
      </c>
      <c r="H26" t="s">
        <v>0</v>
      </c>
      <c r="I26">
        <f t="shared" si="4"/>
        <v>6.2284082999999999</v>
      </c>
      <c r="J26">
        <f t="shared" si="5"/>
        <v>6</v>
      </c>
      <c r="K26" t="s">
        <v>4</v>
      </c>
      <c r="L26" t="s">
        <v>9</v>
      </c>
      <c r="M26">
        <f t="shared" si="6"/>
        <v>12</v>
      </c>
      <c r="N26" t="s">
        <v>4</v>
      </c>
      <c r="P26" t="s">
        <v>9</v>
      </c>
      <c r="Q26">
        <f t="shared" si="3"/>
        <v>6</v>
      </c>
      <c r="R26" t="s">
        <v>59</v>
      </c>
    </row>
    <row r="28" spans="5:18" x14ac:dyDescent="0.4">
      <c r="E28" t="s">
        <v>22</v>
      </c>
    </row>
    <row r="29" spans="5:18" x14ac:dyDescent="0.4">
      <c r="F29" t="s">
        <v>56</v>
      </c>
      <c r="G29">
        <v>170</v>
      </c>
      <c r="H29" t="s">
        <v>57</v>
      </c>
      <c r="I29">
        <f t="shared" ref="I29:I39" si="7">G29/$D$2</f>
        <v>7.3022717999999998</v>
      </c>
      <c r="J29">
        <f t="shared" ref="J29:J39" si="8">ROUND(I29,0)</f>
        <v>7</v>
      </c>
      <c r="K29" t="s">
        <v>4</v>
      </c>
      <c r="L29" t="s">
        <v>58</v>
      </c>
      <c r="M29">
        <f>J29</f>
        <v>7</v>
      </c>
      <c r="N29" t="s">
        <v>59</v>
      </c>
      <c r="P29" t="s">
        <v>58</v>
      </c>
      <c r="Q29">
        <f t="shared" si="3"/>
        <v>1</v>
      </c>
      <c r="R29" t="s">
        <v>59</v>
      </c>
    </row>
    <row r="30" spans="5:18" x14ac:dyDescent="0.4">
      <c r="F30" t="s">
        <v>6</v>
      </c>
      <c r="G30">
        <v>145</v>
      </c>
      <c r="H30" t="s">
        <v>0</v>
      </c>
      <c r="I30">
        <f t="shared" si="7"/>
        <v>6.2284082999999999</v>
      </c>
      <c r="J30">
        <f t="shared" si="8"/>
        <v>6</v>
      </c>
      <c r="K30" t="s">
        <v>4</v>
      </c>
      <c r="L30" t="s">
        <v>8</v>
      </c>
      <c r="M30">
        <f>J30+$J$6</f>
        <v>12</v>
      </c>
      <c r="N30" t="s">
        <v>4</v>
      </c>
      <c r="P30" t="s">
        <v>8</v>
      </c>
      <c r="Q30">
        <f t="shared" si="3"/>
        <v>6</v>
      </c>
      <c r="R30" t="s">
        <v>59</v>
      </c>
    </row>
    <row r="31" spans="5:18" x14ac:dyDescent="0.4">
      <c r="F31" t="s">
        <v>7</v>
      </c>
      <c r="G31">
        <v>145</v>
      </c>
      <c r="H31" t="s">
        <v>0</v>
      </c>
      <c r="I31">
        <f t="shared" si="7"/>
        <v>6.2284082999999999</v>
      </c>
      <c r="J31">
        <f t="shared" si="8"/>
        <v>6</v>
      </c>
      <c r="K31" t="s">
        <v>4</v>
      </c>
      <c r="L31" t="s">
        <v>9</v>
      </c>
      <c r="M31">
        <f>J31</f>
        <v>6</v>
      </c>
      <c r="N31" t="s">
        <v>4</v>
      </c>
      <c r="P31" t="s">
        <v>9</v>
      </c>
      <c r="Q31">
        <f t="shared" si="3"/>
        <v>0</v>
      </c>
      <c r="R31" t="s">
        <v>59</v>
      </c>
    </row>
    <row r="32" spans="5:18" x14ac:dyDescent="0.4">
      <c r="F32" t="s">
        <v>10</v>
      </c>
      <c r="G32">
        <v>155</v>
      </c>
      <c r="H32" t="s">
        <v>0</v>
      </c>
      <c r="I32">
        <f t="shared" si="7"/>
        <v>6.6579537000000002</v>
      </c>
      <c r="J32">
        <f t="shared" si="8"/>
        <v>7</v>
      </c>
      <c r="K32" t="s">
        <v>4</v>
      </c>
      <c r="L32" t="s">
        <v>18</v>
      </c>
      <c r="M32">
        <f>J32-$J$6</f>
        <v>1</v>
      </c>
      <c r="N32" t="s">
        <v>4</v>
      </c>
      <c r="P32" t="s">
        <v>8</v>
      </c>
      <c r="Q32">
        <f>M32-6+12</f>
        <v>7</v>
      </c>
      <c r="R32" t="s">
        <v>59</v>
      </c>
    </row>
    <row r="33" spans="6:18" x14ac:dyDescent="0.4">
      <c r="F33" t="s">
        <v>11</v>
      </c>
      <c r="G33">
        <v>155</v>
      </c>
      <c r="H33" t="s">
        <v>0</v>
      </c>
      <c r="I33">
        <f t="shared" si="7"/>
        <v>6.6579537000000002</v>
      </c>
      <c r="J33">
        <f t="shared" si="8"/>
        <v>7</v>
      </c>
      <c r="K33" t="s">
        <v>4</v>
      </c>
      <c r="L33" t="s">
        <v>9</v>
      </c>
      <c r="M33">
        <f>J33</f>
        <v>7</v>
      </c>
      <c r="N33" t="s">
        <v>4</v>
      </c>
      <c r="P33" t="s">
        <v>9</v>
      </c>
      <c r="Q33">
        <f t="shared" si="3"/>
        <v>1</v>
      </c>
      <c r="R33" t="s">
        <v>59</v>
      </c>
    </row>
    <row r="34" spans="6:18" x14ac:dyDescent="0.4">
      <c r="F34" t="s">
        <v>12</v>
      </c>
      <c r="G34">
        <v>195</v>
      </c>
      <c r="H34" t="s">
        <v>0</v>
      </c>
      <c r="I34">
        <f t="shared" si="7"/>
        <v>8.3761352999999996</v>
      </c>
      <c r="J34">
        <f t="shared" si="8"/>
        <v>8</v>
      </c>
      <c r="K34" t="s">
        <v>4</v>
      </c>
      <c r="L34" t="s">
        <v>18</v>
      </c>
      <c r="M34">
        <f>J34-$J$6</f>
        <v>2</v>
      </c>
      <c r="N34" t="s">
        <v>4</v>
      </c>
      <c r="P34" t="s">
        <v>8</v>
      </c>
      <c r="Q34">
        <f>M34-6+12</f>
        <v>8</v>
      </c>
      <c r="R34" t="s">
        <v>59</v>
      </c>
    </row>
    <row r="35" spans="6:18" x14ac:dyDescent="0.4">
      <c r="F35" t="s">
        <v>13</v>
      </c>
      <c r="G35">
        <v>185</v>
      </c>
      <c r="H35" t="s">
        <v>0</v>
      </c>
      <c r="I35">
        <f t="shared" si="7"/>
        <v>7.9465899000000002</v>
      </c>
      <c r="J35">
        <f t="shared" si="8"/>
        <v>8</v>
      </c>
      <c r="K35" t="s">
        <v>4</v>
      </c>
      <c r="L35" t="s">
        <v>9</v>
      </c>
      <c r="M35">
        <f>J35</f>
        <v>8</v>
      </c>
      <c r="N35" t="s">
        <v>4</v>
      </c>
      <c r="P35" t="s">
        <v>9</v>
      </c>
      <c r="Q35">
        <f t="shared" si="3"/>
        <v>2</v>
      </c>
      <c r="R35" t="s">
        <v>59</v>
      </c>
    </row>
    <row r="36" spans="6:18" x14ac:dyDescent="0.4">
      <c r="F36" t="s">
        <v>16</v>
      </c>
      <c r="G36">
        <v>155</v>
      </c>
      <c r="H36" t="s">
        <v>0</v>
      </c>
      <c r="I36">
        <f t="shared" si="7"/>
        <v>6.6579537000000002</v>
      </c>
      <c r="J36">
        <f t="shared" si="8"/>
        <v>7</v>
      </c>
      <c r="K36" t="s">
        <v>4</v>
      </c>
      <c r="L36" t="s">
        <v>18</v>
      </c>
      <c r="M36">
        <f>J36-$J$6</f>
        <v>1</v>
      </c>
      <c r="N36" t="s">
        <v>4</v>
      </c>
      <c r="P36" t="s">
        <v>8</v>
      </c>
      <c r="Q36">
        <f>M36-6+12</f>
        <v>7</v>
      </c>
      <c r="R36" t="s">
        <v>59</v>
      </c>
    </row>
    <row r="37" spans="6:18" x14ac:dyDescent="0.4">
      <c r="F37" t="s">
        <v>17</v>
      </c>
      <c r="G37">
        <v>145</v>
      </c>
      <c r="H37" t="s">
        <v>0</v>
      </c>
      <c r="I37">
        <f t="shared" si="7"/>
        <v>6.2284082999999999</v>
      </c>
      <c r="J37">
        <f t="shared" si="8"/>
        <v>6</v>
      </c>
      <c r="K37" t="s">
        <v>4</v>
      </c>
      <c r="L37" t="s">
        <v>9</v>
      </c>
      <c r="M37">
        <f>J37</f>
        <v>6</v>
      </c>
      <c r="N37" t="s">
        <v>4</v>
      </c>
      <c r="P37" t="s">
        <v>9</v>
      </c>
      <c r="Q37">
        <f t="shared" si="3"/>
        <v>0</v>
      </c>
      <c r="R37" t="s">
        <v>59</v>
      </c>
    </row>
    <row r="38" spans="6:18" x14ac:dyDescent="0.4">
      <c r="F38" t="s">
        <v>23</v>
      </c>
      <c r="G38">
        <v>190</v>
      </c>
      <c r="H38" t="s">
        <v>0</v>
      </c>
      <c r="I38">
        <f t="shared" si="7"/>
        <v>8.1613626000000004</v>
      </c>
      <c r="J38">
        <f t="shared" si="8"/>
        <v>8</v>
      </c>
      <c r="K38" t="s">
        <v>4</v>
      </c>
      <c r="L38" t="s">
        <v>26</v>
      </c>
      <c r="M38">
        <f>J38-$J$6</f>
        <v>2</v>
      </c>
      <c r="N38" t="s">
        <v>4</v>
      </c>
      <c r="P38" t="s">
        <v>9</v>
      </c>
      <c r="Q38">
        <f>M38-6+12</f>
        <v>8</v>
      </c>
      <c r="R38" t="s">
        <v>59</v>
      </c>
    </row>
    <row r="39" spans="6:18" x14ac:dyDescent="0.4">
      <c r="F39" t="s">
        <v>24</v>
      </c>
      <c r="G39">
        <v>180</v>
      </c>
      <c r="H39" t="s">
        <v>0</v>
      </c>
      <c r="I39">
        <f t="shared" si="7"/>
        <v>7.7318172000000001</v>
      </c>
      <c r="J39">
        <f t="shared" si="8"/>
        <v>8</v>
      </c>
      <c r="K39" t="s">
        <v>4</v>
      </c>
      <c r="L39" t="s">
        <v>25</v>
      </c>
      <c r="M39">
        <f>J39</f>
        <v>8</v>
      </c>
      <c r="N39" t="s">
        <v>4</v>
      </c>
      <c r="P39" t="s">
        <v>25</v>
      </c>
      <c r="Q39">
        <f t="shared" si="3"/>
        <v>2</v>
      </c>
      <c r="R39" t="s">
        <v>59</v>
      </c>
    </row>
    <row r="40" spans="6:18" x14ac:dyDescent="0.4">
      <c r="F40" t="s">
        <v>61</v>
      </c>
      <c r="G40">
        <v>160</v>
      </c>
      <c r="H40" t="s">
        <v>0</v>
      </c>
      <c r="I40">
        <f t="shared" ref="I40:I41" si="9">G40/$D$2</f>
        <v>6.8727264000000003</v>
      </c>
      <c r="J40">
        <f t="shared" ref="J40:J41" si="10">ROUND(I40,0)</f>
        <v>7</v>
      </c>
      <c r="K40" t="s">
        <v>4</v>
      </c>
      <c r="L40" t="s">
        <v>8</v>
      </c>
      <c r="M40">
        <f>J40</f>
        <v>7</v>
      </c>
      <c r="N40" t="s">
        <v>4</v>
      </c>
      <c r="P40" t="s">
        <v>8</v>
      </c>
      <c r="Q40">
        <f>M40-6</f>
        <v>1</v>
      </c>
      <c r="R40" t="s">
        <v>59</v>
      </c>
    </row>
    <row r="41" spans="6:18" x14ac:dyDescent="0.4">
      <c r="F41" t="s">
        <v>62</v>
      </c>
      <c r="G41">
        <v>160</v>
      </c>
      <c r="H41" t="s">
        <v>0</v>
      </c>
      <c r="I41">
        <f t="shared" si="9"/>
        <v>6.8727264000000003</v>
      </c>
      <c r="J41">
        <f t="shared" si="10"/>
        <v>7</v>
      </c>
      <c r="K41" t="s">
        <v>4</v>
      </c>
      <c r="L41" t="s">
        <v>9</v>
      </c>
      <c r="M41">
        <f>J41</f>
        <v>7</v>
      </c>
      <c r="N41" t="s">
        <v>4</v>
      </c>
      <c r="P41" t="s">
        <v>9</v>
      </c>
      <c r="Q41">
        <f t="shared" ref="Q41" si="11">M41-6</f>
        <v>1</v>
      </c>
      <c r="R41" t="s">
        <v>59</v>
      </c>
    </row>
  </sheetData>
  <mergeCells count="1">
    <mergeCell ref="P7:R7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6E6F-7649-45C1-8194-863B431B5DB5}">
  <dimension ref="B2:L41"/>
  <sheetViews>
    <sheetView tabSelected="1" workbookViewId="0">
      <selection activeCell="L4" sqref="L4"/>
    </sheetView>
  </sheetViews>
  <sheetFormatPr defaultRowHeight="18.75" x14ac:dyDescent="0.4"/>
  <cols>
    <col min="7" max="8" width="9" style="1"/>
  </cols>
  <sheetData>
    <row r="2" spans="2:12" x14ac:dyDescent="0.4">
      <c r="B2">
        <v>42.954540000000001</v>
      </c>
      <c r="C2" t="s">
        <v>27</v>
      </c>
      <c r="D2">
        <v>23.280426236667882</v>
      </c>
      <c r="E2" t="s">
        <v>28</v>
      </c>
    </row>
    <row r="3" spans="2:12" x14ac:dyDescent="0.4">
      <c r="B3">
        <v>3.579545</v>
      </c>
      <c r="C3" t="s">
        <v>27</v>
      </c>
      <c r="D3">
        <v>279.3651148400146</v>
      </c>
      <c r="E3" t="s">
        <v>28</v>
      </c>
      <c r="L3">
        <f>D3*2.5</f>
        <v>698.41278710003644</v>
      </c>
    </row>
    <row r="5" spans="2:12" x14ac:dyDescent="0.4">
      <c r="F5" t="s">
        <v>29</v>
      </c>
      <c r="G5" s="1" t="s">
        <v>52</v>
      </c>
      <c r="H5" s="1">
        <v>2</v>
      </c>
      <c r="I5" t="s">
        <v>30</v>
      </c>
    </row>
    <row r="6" spans="2:12" x14ac:dyDescent="0.4">
      <c r="F6" t="s">
        <v>31</v>
      </c>
      <c r="G6" s="1" t="s">
        <v>52</v>
      </c>
      <c r="H6" s="1">
        <v>6</v>
      </c>
      <c r="I6" t="s">
        <v>30</v>
      </c>
    </row>
    <row r="8" spans="2:12" x14ac:dyDescent="0.4">
      <c r="E8" t="s">
        <v>32</v>
      </c>
    </row>
    <row r="9" spans="2:12" x14ac:dyDescent="0.4">
      <c r="F9" t="s">
        <v>33</v>
      </c>
      <c r="G9" s="1" t="s">
        <v>34</v>
      </c>
      <c r="H9" s="1">
        <v>6</v>
      </c>
      <c r="I9" t="s">
        <v>30</v>
      </c>
    </row>
    <row r="10" spans="2:12" x14ac:dyDescent="0.4">
      <c r="F10" t="s">
        <v>35</v>
      </c>
      <c r="G10" s="1" t="s">
        <v>36</v>
      </c>
      <c r="H10" s="1">
        <v>6</v>
      </c>
      <c r="I10" t="s">
        <v>30</v>
      </c>
    </row>
    <row r="11" spans="2:12" x14ac:dyDescent="0.4">
      <c r="F11" t="s">
        <v>37</v>
      </c>
      <c r="G11" s="1" t="s">
        <v>34</v>
      </c>
      <c r="H11" s="1">
        <v>7</v>
      </c>
      <c r="I11" t="s">
        <v>30</v>
      </c>
    </row>
    <row r="12" spans="2:12" x14ac:dyDescent="0.4">
      <c r="F12" t="s">
        <v>38</v>
      </c>
      <c r="G12" s="1" t="s">
        <v>36</v>
      </c>
      <c r="H12" s="1">
        <v>7</v>
      </c>
      <c r="I12" t="s">
        <v>30</v>
      </c>
    </row>
    <row r="13" spans="2:12" x14ac:dyDescent="0.4">
      <c r="F13" t="s">
        <v>39</v>
      </c>
      <c r="G13" s="1" t="s">
        <v>34</v>
      </c>
      <c r="H13" s="1">
        <v>8</v>
      </c>
      <c r="I13" t="s">
        <v>30</v>
      </c>
      <c r="J13" t="s">
        <v>53</v>
      </c>
    </row>
    <row r="14" spans="2:12" x14ac:dyDescent="0.4">
      <c r="F14" t="s">
        <v>41</v>
      </c>
      <c r="G14" s="1" t="s">
        <v>36</v>
      </c>
      <c r="H14" s="1">
        <v>8</v>
      </c>
      <c r="I14" t="s">
        <v>30</v>
      </c>
      <c r="J14" t="s">
        <v>53</v>
      </c>
    </row>
    <row r="15" spans="2:12" x14ac:dyDescent="0.4">
      <c r="F15" t="s">
        <v>42</v>
      </c>
      <c r="G15" s="1" t="s">
        <v>40</v>
      </c>
      <c r="H15" s="1">
        <v>6</v>
      </c>
      <c r="I15" t="s">
        <v>30</v>
      </c>
      <c r="J15" t="s">
        <v>54</v>
      </c>
    </row>
    <row r="16" spans="2:12" x14ac:dyDescent="0.4">
      <c r="F16" t="s">
        <v>43</v>
      </c>
      <c r="G16" s="1" t="s">
        <v>36</v>
      </c>
      <c r="H16" s="1">
        <v>5</v>
      </c>
      <c r="I16" t="s">
        <v>30</v>
      </c>
      <c r="J16" t="s">
        <v>54</v>
      </c>
    </row>
    <row r="17" spans="5:10" x14ac:dyDescent="0.4">
      <c r="F17" t="s">
        <v>44</v>
      </c>
      <c r="G17" s="1" t="s">
        <v>34</v>
      </c>
      <c r="H17" s="1">
        <v>7</v>
      </c>
      <c r="I17" t="s">
        <v>30</v>
      </c>
      <c r="J17" t="s">
        <v>53</v>
      </c>
    </row>
    <row r="18" spans="5:10" x14ac:dyDescent="0.4">
      <c r="F18" t="s">
        <v>45</v>
      </c>
      <c r="G18" s="1" t="s">
        <v>36</v>
      </c>
      <c r="H18" s="1">
        <v>6</v>
      </c>
      <c r="I18" t="s">
        <v>30</v>
      </c>
      <c r="J18" t="s">
        <v>53</v>
      </c>
    </row>
    <row r="20" spans="5:10" x14ac:dyDescent="0.4">
      <c r="E20" t="s">
        <v>46</v>
      </c>
    </row>
    <row r="21" spans="5:10" x14ac:dyDescent="0.4">
      <c r="F21" t="s">
        <v>47</v>
      </c>
      <c r="G21" s="1" t="s">
        <v>40</v>
      </c>
      <c r="H21" s="1">
        <v>0</v>
      </c>
      <c r="I21" t="s">
        <v>30</v>
      </c>
    </row>
    <row r="22" spans="5:10" x14ac:dyDescent="0.4">
      <c r="F22" t="s">
        <v>48</v>
      </c>
      <c r="G22" s="1" t="s">
        <v>36</v>
      </c>
      <c r="H22" s="1">
        <v>6</v>
      </c>
      <c r="I22" t="s">
        <v>30</v>
      </c>
    </row>
    <row r="23" spans="5:10" x14ac:dyDescent="0.4">
      <c r="F23" t="s">
        <v>42</v>
      </c>
      <c r="G23" s="1" t="s">
        <v>34</v>
      </c>
      <c r="H23" s="1">
        <v>11</v>
      </c>
      <c r="I23" t="s">
        <v>30</v>
      </c>
      <c r="J23" t="s">
        <v>54</v>
      </c>
    </row>
    <row r="24" spans="5:10" x14ac:dyDescent="0.4">
      <c r="F24" t="s">
        <v>43</v>
      </c>
      <c r="G24" s="1" t="s">
        <v>36</v>
      </c>
      <c r="H24" s="1">
        <v>5</v>
      </c>
      <c r="I24" t="s">
        <v>30</v>
      </c>
      <c r="J24" t="s">
        <v>54</v>
      </c>
    </row>
    <row r="25" spans="5:10" x14ac:dyDescent="0.4">
      <c r="F25" t="s">
        <v>44</v>
      </c>
      <c r="G25" s="1" t="s">
        <v>40</v>
      </c>
      <c r="H25" s="1">
        <v>0</v>
      </c>
      <c r="I25" t="s">
        <v>30</v>
      </c>
      <c r="J25" t="s">
        <v>53</v>
      </c>
    </row>
    <row r="26" spans="5:10" x14ac:dyDescent="0.4">
      <c r="F26" t="s">
        <v>45</v>
      </c>
      <c r="G26" s="1" t="s">
        <v>36</v>
      </c>
      <c r="H26" s="1">
        <v>6</v>
      </c>
      <c r="I26" t="s">
        <v>30</v>
      </c>
      <c r="J26" t="s">
        <v>53</v>
      </c>
    </row>
    <row r="28" spans="5:10" x14ac:dyDescent="0.4">
      <c r="E28" t="s">
        <v>55</v>
      </c>
    </row>
    <row r="29" spans="5:10" x14ac:dyDescent="0.4">
      <c r="F29" t="s">
        <v>56</v>
      </c>
      <c r="G29" s="1" t="s">
        <v>34</v>
      </c>
      <c r="H29" s="1">
        <v>1</v>
      </c>
    </row>
    <row r="30" spans="5:10" x14ac:dyDescent="0.4">
      <c r="F30" t="s">
        <v>33</v>
      </c>
      <c r="G30" s="1" t="s">
        <v>34</v>
      </c>
      <c r="H30" s="1">
        <v>6</v>
      </c>
      <c r="I30" t="s">
        <v>30</v>
      </c>
    </row>
    <row r="31" spans="5:10" x14ac:dyDescent="0.4">
      <c r="F31" t="s">
        <v>35</v>
      </c>
      <c r="G31" s="1" t="s">
        <v>36</v>
      </c>
      <c r="H31" s="1">
        <v>0</v>
      </c>
      <c r="I31" t="s">
        <v>30</v>
      </c>
    </row>
    <row r="32" spans="5:10" x14ac:dyDescent="0.4">
      <c r="F32" t="s">
        <v>37</v>
      </c>
      <c r="G32" s="1" t="s">
        <v>34</v>
      </c>
      <c r="H32" s="1">
        <v>7</v>
      </c>
      <c r="I32" t="s">
        <v>30</v>
      </c>
    </row>
    <row r="33" spans="6:9" x14ac:dyDescent="0.4">
      <c r="F33" t="s">
        <v>38</v>
      </c>
      <c r="G33" s="1" t="s">
        <v>36</v>
      </c>
      <c r="H33" s="1">
        <v>1</v>
      </c>
      <c r="I33" t="s">
        <v>30</v>
      </c>
    </row>
    <row r="34" spans="6:9" x14ac:dyDescent="0.4">
      <c r="F34" t="s">
        <v>39</v>
      </c>
      <c r="G34" s="1" t="s">
        <v>34</v>
      </c>
      <c r="H34" s="1">
        <v>8</v>
      </c>
      <c r="I34" t="s">
        <v>30</v>
      </c>
    </row>
    <row r="35" spans="6:9" x14ac:dyDescent="0.4">
      <c r="F35" t="s">
        <v>41</v>
      </c>
      <c r="G35" s="1" t="s">
        <v>36</v>
      </c>
      <c r="H35" s="1">
        <v>2</v>
      </c>
      <c r="I35" t="s">
        <v>30</v>
      </c>
    </row>
    <row r="36" spans="6:9" x14ac:dyDescent="0.4">
      <c r="F36" t="s">
        <v>44</v>
      </c>
      <c r="G36" s="1" t="s">
        <v>34</v>
      </c>
      <c r="H36" s="1">
        <v>7</v>
      </c>
      <c r="I36" t="s">
        <v>30</v>
      </c>
    </row>
    <row r="37" spans="6:9" x14ac:dyDescent="0.4">
      <c r="F37" t="s">
        <v>45</v>
      </c>
      <c r="G37" s="1" t="s">
        <v>36</v>
      </c>
      <c r="H37" s="1">
        <v>0</v>
      </c>
      <c r="I37" t="s">
        <v>30</v>
      </c>
    </row>
    <row r="38" spans="6:9" x14ac:dyDescent="0.4">
      <c r="F38" t="s">
        <v>49</v>
      </c>
      <c r="G38" s="1" t="s">
        <v>36</v>
      </c>
      <c r="H38" s="1">
        <v>8</v>
      </c>
      <c r="I38" t="s">
        <v>30</v>
      </c>
    </row>
    <row r="39" spans="6:9" x14ac:dyDescent="0.4">
      <c r="F39" t="s">
        <v>50</v>
      </c>
      <c r="G39" s="1" t="s">
        <v>51</v>
      </c>
      <c r="H39" s="1">
        <v>2</v>
      </c>
      <c r="I39" t="s">
        <v>30</v>
      </c>
    </row>
    <row r="40" spans="6:9" x14ac:dyDescent="0.4">
      <c r="F40" t="s">
        <v>61</v>
      </c>
      <c r="G40" s="1" t="s">
        <v>34</v>
      </c>
      <c r="H40" s="1">
        <v>1</v>
      </c>
      <c r="I40" t="s">
        <v>30</v>
      </c>
    </row>
    <row r="41" spans="6:9" x14ac:dyDescent="0.4">
      <c r="F41" t="s">
        <v>62</v>
      </c>
      <c r="G41" s="1" t="s">
        <v>36</v>
      </c>
      <c r="H41" s="1">
        <v>1</v>
      </c>
      <c r="I41" t="s">
        <v>30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2026-09-03T09:24:31Z</dcterms:created>
  <dcterms:modified xsi:type="dcterms:W3CDTF">2026-09-16T13:43:35Z</dcterms:modified>
</cp:coreProperties>
</file>